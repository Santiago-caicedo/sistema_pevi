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bedu-my.sharepoint.com/personal/macero22_o365_unab_edu_co/Documents/Mi Unidad/UNAB/PEVI/Centro PEVI Líder/"/>
    </mc:Choice>
  </mc:AlternateContent>
  <xr:revisionPtr revIDLastSave="0" documentId="8_{7A605990-A5B9-4746-BC9E-7E7A00E7F06A}" xr6:coauthVersionLast="47" xr6:coauthVersionMax="47" xr10:uidLastSave="{00000000-0000-0000-0000-000000000000}"/>
  <bookViews>
    <workbookView xWindow="-120" yWindow="-120" windowWidth="20730" windowHeight="11040" firstSheet="1" activeTab="1" xr2:uid="{92392F9D-FA94-4100-B0B8-8E40A0A42B51}"/>
  </bookViews>
  <sheets>
    <sheet name="Hoja2" sheetId="2" r:id="rId1"/>
    <sheet name="Hoja1" sheetId="1" r:id="rId2"/>
  </sheets>
  <definedNames>
    <definedName name="_xlnm._FilterDatabase" localSheetId="1" hidden="1">Hoja1!$A$1:$BT$55</definedName>
    <definedName name="solver_adj" localSheetId="1" hidden="1">Hoja1!$H$24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Hoja1!$M$58</definedName>
    <definedName name="solver_lhs2" localSheetId="1" hidden="1">Hoja1!$M$59</definedName>
    <definedName name="solver_lhs3" localSheetId="1" hidden="1">Hoja1!$M$60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Hoja1!$M$60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2" localSheetId="1" hidden="1">3</definedName>
    <definedName name="solver_rel3" localSheetId="1" hidden="1">3</definedName>
    <definedName name="solver_rhs1" localSheetId="1" hidden="1">0</definedName>
    <definedName name="solver_rhs2" localSheetId="1" hidden="1">0</definedName>
    <definedName name="solver_rhs3" localSheetId="1" hidden="1">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87150000</definedName>
    <definedName name="solver_ver" localSheetId="1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22" i="1" l="1"/>
  <c r="BM22" i="1"/>
  <c r="BN22" i="1" s="1"/>
  <c r="BK22" i="1"/>
  <c r="BP21" i="1"/>
  <c r="BM21" i="1"/>
  <c r="BN21" i="1" s="1"/>
  <c r="BK21" i="1"/>
  <c r="AT21" i="1"/>
  <c r="AU21" i="1" s="1"/>
  <c r="AQ21" i="1"/>
  <c r="AR21" i="1" s="1"/>
  <c r="AV21" i="1" s="1"/>
  <c r="AO21" i="1"/>
  <c r="BI22" i="1"/>
  <c r="BE22" i="1"/>
  <c r="BF22" i="1" s="1"/>
  <c r="BB22" i="1"/>
  <c r="BC22" i="1" s="1"/>
  <c r="BG22" i="1" s="1"/>
  <c r="AZ22" i="1"/>
  <c r="AT22" i="1"/>
  <c r="AU22" i="1" s="1"/>
  <c r="AQ22" i="1"/>
  <c r="AR22" i="1" s="1"/>
  <c r="AV22" i="1" s="1"/>
  <c r="AO22" i="1"/>
  <c r="AX22" i="1" s="1"/>
  <c r="AI22" i="1"/>
  <c r="AJ22" i="1" s="1"/>
  <c r="AF22" i="1"/>
  <c r="AG22" i="1" s="1"/>
  <c r="AK22" i="1" s="1"/>
  <c r="AD22" i="1"/>
  <c r="AM22" i="1" s="1"/>
  <c r="X22" i="1"/>
  <c r="Y22" i="1" s="1"/>
  <c r="U22" i="1"/>
  <c r="V22" i="1" s="1"/>
  <c r="Z22" i="1" s="1"/>
  <c r="S22" i="1"/>
  <c r="AB22" i="1" s="1"/>
  <c r="AJ18" i="1"/>
  <c r="AC18" i="1"/>
  <c r="AD18" i="1" s="1"/>
  <c r="X50" i="1"/>
  <c r="AT49" i="1"/>
  <c r="N49" i="1"/>
  <c r="O49" i="1"/>
  <c r="N40" i="1"/>
  <c r="L43" i="1"/>
  <c r="AF14" i="1"/>
  <c r="AG14" i="1" s="1"/>
  <c r="X29" i="1"/>
  <c r="N27" i="1"/>
  <c r="M27" i="1"/>
  <c r="AH38" i="1"/>
  <c r="AE38" i="1"/>
  <c r="T38" i="1"/>
  <c r="X38" i="1"/>
  <c r="U36" i="1"/>
  <c r="W33" i="1"/>
  <c r="T33" i="1"/>
  <c r="BP16" i="1"/>
  <c r="BT21" i="1" l="1"/>
  <c r="BQ21" i="1"/>
  <c r="BR21" i="1"/>
  <c r="BT22" i="1"/>
  <c r="BQ22" i="1"/>
  <c r="BR22" i="1"/>
  <c r="X8" i="1"/>
  <c r="L9" i="1"/>
  <c r="X3" i="1"/>
  <c r="L7" i="1"/>
  <c r="AI4" i="1"/>
  <c r="AF4" i="1"/>
  <c r="AG4" i="1" s="1"/>
  <c r="N4" i="1"/>
  <c r="BE11" i="1"/>
  <c r="BF11" i="1" s="1"/>
  <c r="S33" i="1"/>
  <c r="AB33" i="1" s="1"/>
  <c r="AJ4" i="1" l="1"/>
  <c r="BE3" i="1"/>
  <c r="BP4" i="1"/>
  <c r="BM4" i="1"/>
  <c r="BN4" i="1" s="1"/>
  <c r="BK4" i="1"/>
  <c r="BI4" i="1"/>
  <c r="BE4" i="1"/>
  <c r="BF4" i="1" s="1"/>
  <c r="BB4" i="1"/>
  <c r="BC4" i="1" s="1"/>
  <c r="AZ4" i="1"/>
  <c r="AT4" i="1"/>
  <c r="AU4" i="1" s="1"/>
  <c r="AQ4" i="1"/>
  <c r="AR4" i="1" s="1"/>
  <c r="AO4" i="1"/>
  <c r="AX4" i="1" s="1"/>
  <c r="AD4" i="1"/>
  <c r="AM4" i="1" s="1"/>
  <c r="X4" i="1"/>
  <c r="Y4" i="1" s="1"/>
  <c r="U4" i="1"/>
  <c r="V4" i="1" s="1"/>
  <c r="S4" i="1"/>
  <c r="AB4" i="1" s="1"/>
  <c r="L4" i="1"/>
  <c r="K4" i="1"/>
  <c r="AI3" i="1"/>
  <c r="AV4" i="1" l="1"/>
  <c r="BT4" i="1"/>
  <c r="BQ4" i="1"/>
  <c r="BR4" i="1" s="1"/>
  <c r="BU4" i="1"/>
  <c r="AK4" i="1"/>
  <c r="BG4" i="1"/>
  <c r="Z4" i="1"/>
  <c r="BW4" i="1"/>
  <c r="BX4" i="1" s="1"/>
  <c r="O4" i="1"/>
  <c r="CH4" i="1" s="1"/>
  <c r="Q4" i="1"/>
  <c r="AY11" i="1"/>
  <c r="AZ11" i="1" s="1"/>
  <c r="AY18" i="1"/>
  <c r="X30" i="1"/>
  <c r="X39" i="1"/>
  <c r="X36" i="1"/>
  <c r="X34" i="1"/>
  <c r="X24" i="1"/>
  <c r="Y24" i="1" s="1"/>
  <c r="X40" i="1"/>
  <c r="U47" i="1"/>
  <c r="V47" i="1" s="1"/>
  <c r="Z47" i="1" s="1"/>
  <c r="U20" i="1"/>
  <c r="V20" i="1" s="1"/>
  <c r="U19" i="1"/>
  <c r="V19" i="1" s="1"/>
  <c r="U15" i="1"/>
  <c r="V15" i="1" s="1"/>
  <c r="U8" i="1"/>
  <c r="V8" i="1" s="1"/>
  <c r="U26" i="1"/>
  <c r="V26" i="1" s="1"/>
  <c r="U25" i="1"/>
  <c r="V25" i="1" s="1"/>
  <c r="U24" i="1"/>
  <c r="V24" i="1" s="1"/>
  <c r="U21" i="1"/>
  <c r="V21" i="1" s="1"/>
  <c r="U44" i="1"/>
  <c r="V44" i="1" s="1"/>
  <c r="U42" i="1"/>
  <c r="U40" i="1"/>
  <c r="U41" i="1"/>
  <c r="U39" i="1"/>
  <c r="U37" i="1"/>
  <c r="U35" i="1"/>
  <c r="S41" i="1"/>
  <c r="X37" i="1"/>
  <c r="X35" i="1"/>
  <c r="V45" i="1"/>
  <c r="X27" i="1"/>
  <c r="U27" i="1"/>
  <c r="V27" i="1" s="1"/>
  <c r="X26" i="1"/>
  <c r="BP17" i="1"/>
  <c r="BP18" i="1"/>
  <c r="BP19" i="1"/>
  <c r="BP20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3" i="1"/>
  <c r="BP5" i="1"/>
  <c r="BP6" i="1"/>
  <c r="BP7" i="1"/>
  <c r="BP8" i="1"/>
  <c r="BP9" i="1"/>
  <c r="BP10" i="1"/>
  <c r="BP11" i="1"/>
  <c r="BP12" i="1"/>
  <c r="BP13" i="1"/>
  <c r="BP14" i="1"/>
  <c r="BP15" i="1"/>
  <c r="BE5" i="1"/>
  <c r="BE6" i="1"/>
  <c r="BE7" i="1"/>
  <c r="BE8" i="1"/>
  <c r="BE9" i="1"/>
  <c r="BE10" i="1"/>
  <c r="BE12" i="1"/>
  <c r="BE13" i="1"/>
  <c r="BE14" i="1"/>
  <c r="BE15" i="1"/>
  <c r="BE16" i="1"/>
  <c r="BE17" i="1"/>
  <c r="BE19" i="1"/>
  <c r="BE20" i="1"/>
  <c r="BE21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AT5" i="1"/>
  <c r="AT6" i="1"/>
  <c r="AU6" i="1" s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50" i="1"/>
  <c r="AT51" i="1"/>
  <c r="AT52" i="1"/>
  <c r="AT53" i="1"/>
  <c r="AT3" i="1"/>
  <c r="AU3" i="1" s="1"/>
  <c r="AQ6" i="1"/>
  <c r="AR6" i="1" s="1"/>
  <c r="AO6" i="1"/>
  <c r="Y8" i="1"/>
  <c r="K69" i="1"/>
  <c r="K70" i="1"/>
  <c r="Z8" i="1" l="1"/>
  <c r="BV4" i="1"/>
  <c r="CK4" i="1"/>
  <c r="CG4" i="1"/>
  <c r="BU3" i="1"/>
  <c r="BV3" i="1" s="1"/>
  <c r="CI4" i="1"/>
  <c r="BY4" i="1"/>
  <c r="AV6" i="1"/>
  <c r="U51" i="1"/>
  <c r="V51" i="1" s="1"/>
  <c r="W53" i="1"/>
  <c r="W52" i="1"/>
  <c r="W51" i="1"/>
  <c r="W46" i="1"/>
  <c r="L30" i="1"/>
  <c r="S26" i="1"/>
  <c r="CF4" i="1" l="1"/>
  <c r="S31" i="1"/>
  <c r="L47" i="1"/>
  <c r="S47" i="1"/>
  <c r="AB47" i="1" s="1"/>
  <c r="AC45" i="1"/>
  <c r="AD45" i="1" s="1"/>
  <c r="AM45" i="1" s="1"/>
  <c r="X25" i="1"/>
  <c r="X28" i="1"/>
  <c r="AG45" i="1"/>
  <c r="AE45" i="1" l="1"/>
  <c r="K50" i="1"/>
  <c r="S50" i="1"/>
  <c r="AB50" i="1" s="1"/>
  <c r="AI14" i="1"/>
  <c r="BI3" i="1"/>
  <c r="BI5" i="1"/>
  <c r="BI6" i="1"/>
  <c r="BI7" i="1"/>
  <c r="BI8" i="1"/>
  <c r="BI9" i="1"/>
  <c r="BI10" i="1"/>
  <c r="BI12" i="1"/>
  <c r="BI13" i="1"/>
  <c r="BI14" i="1"/>
  <c r="BI15" i="1"/>
  <c r="BI16" i="1"/>
  <c r="BI17" i="1"/>
  <c r="BI19" i="1"/>
  <c r="BI20" i="1"/>
  <c r="BI21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AI5" i="1"/>
  <c r="AI6" i="1"/>
  <c r="AI7" i="1"/>
  <c r="AI8" i="1"/>
  <c r="BU8" i="1" s="1"/>
  <c r="CK8" i="1" s="1"/>
  <c r="AI9" i="1"/>
  <c r="AI10" i="1"/>
  <c r="AI11" i="1"/>
  <c r="AI12" i="1"/>
  <c r="AI13" i="1"/>
  <c r="AI15" i="1"/>
  <c r="AI16" i="1"/>
  <c r="AI17" i="1"/>
  <c r="AI19" i="1"/>
  <c r="AI20" i="1"/>
  <c r="AI21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9" i="1"/>
  <c r="AI40" i="1"/>
  <c r="AI41" i="1"/>
  <c r="AI42" i="1"/>
  <c r="AI43" i="1"/>
  <c r="AI44" i="1"/>
  <c r="AI46" i="1"/>
  <c r="AI47" i="1"/>
  <c r="AI48" i="1"/>
  <c r="AI49" i="1"/>
  <c r="AI50" i="1"/>
  <c r="AI51" i="1"/>
  <c r="AI52" i="1"/>
  <c r="AI53" i="1"/>
  <c r="Q50" i="1" l="1"/>
  <c r="S20" i="1"/>
  <c r="AB20" i="1" s="1"/>
  <c r="Y27" i="1"/>
  <c r="Y33" i="1"/>
  <c r="Y42" i="1"/>
  <c r="Y43" i="1"/>
  <c r="Y44" i="1"/>
  <c r="Y45" i="1"/>
  <c r="Y46" i="1"/>
  <c r="Y51" i="1"/>
  <c r="Y52" i="1"/>
  <c r="Y53" i="1"/>
  <c r="M38" i="1" l="1"/>
  <c r="M41" i="1"/>
  <c r="R45" i="1"/>
  <c r="T45" i="1" s="1"/>
  <c r="L23" i="1"/>
  <c r="L22" i="1"/>
  <c r="K22" i="1"/>
  <c r="AJ38" i="1"/>
  <c r="AJ3" i="1"/>
  <c r="AG38" i="1"/>
  <c r="L13" i="1"/>
  <c r="L12" i="1"/>
  <c r="L14" i="1"/>
  <c r="L15" i="1"/>
  <c r="L16" i="1"/>
  <c r="L17" i="1"/>
  <c r="L18" i="1"/>
  <c r="L19" i="1"/>
  <c r="L20" i="1"/>
  <c r="L21" i="1"/>
  <c r="L24" i="1"/>
  <c r="L25" i="1"/>
  <c r="L26" i="1"/>
  <c r="L27" i="1"/>
  <c r="L28" i="1"/>
  <c r="L31" i="1"/>
  <c r="L33" i="1"/>
  <c r="L34" i="1"/>
  <c r="L35" i="1"/>
  <c r="L36" i="1"/>
  <c r="L37" i="1"/>
  <c r="L38" i="1"/>
  <c r="L39" i="1"/>
  <c r="L40" i="1"/>
  <c r="L41" i="1"/>
  <c r="L42" i="1"/>
  <c r="L44" i="1"/>
  <c r="L45" i="1"/>
  <c r="L46" i="1"/>
  <c r="L48" i="1"/>
  <c r="L49" i="1"/>
  <c r="L51" i="1"/>
  <c r="L52" i="1"/>
  <c r="L53" i="1"/>
  <c r="L11" i="1"/>
  <c r="L10" i="1"/>
  <c r="L8" i="1"/>
  <c r="L6" i="1"/>
  <c r="L5" i="1"/>
  <c r="BF3" i="1"/>
  <c r="BF5" i="1"/>
  <c r="BF6" i="1"/>
  <c r="BF7" i="1"/>
  <c r="BF8" i="1"/>
  <c r="BF9" i="1"/>
  <c r="BF10" i="1"/>
  <c r="BF12" i="1"/>
  <c r="BF13" i="1"/>
  <c r="BF14" i="1"/>
  <c r="BF15" i="1"/>
  <c r="BF16" i="1"/>
  <c r="BF17" i="1"/>
  <c r="BF19" i="1"/>
  <c r="BF20" i="1"/>
  <c r="BF21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K42" i="1"/>
  <c r="L3" i="1"/>
  <c r="AK38" i="1" l="1"/>
  <c r="Y38" i="1"/>
  <c r="Q22" i="1"/>
  <c r="Q42" i="1"/>
  <c r="BK3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T53" i="1" l="1"/>
  <c r="BQ53" i="1"/>
  <c r="BT52" i="1"/>
  <c r="BQ52" i="1"/>
  <c r="BT51" i="1"/>
  <c r="BQ51" i="1"/>
  <c r="BT50" i="1"/>
  <c r="BQ50" i="1"/>
  <c r="BT49" i="1"/>
  <c r="BQ49" i="1"/>
  <c r="BT48" i="1"/>
  <c r="BQ48" i="1"/>
  <c r="BT47" i="1"/>
  <c r="BQ47" i="1"/>
  <c r="BT46" i="1"/>
  <c r="BQ46" i="1"/>
  <c r="BT45" i="1"/>
  <c r="BQ45" i="1"/>
  <c r="BT44" i="1"/>
  <c r="BQ44" i="1"/>
  <c r="BT43" i="1"/>
  <c r="BQ43" i="1"/>
  <c r="BT42" i="1"/>
  <c r="BQ42" i="1"/>
  <c r="BT41" i="1"/>
  <c r="BQ41" i="1"/>
  <c r="BT40" i="1"/>
  <c r="BQ40" i="1"/>
  <c r="BT39" i="1"/>
  <c r="BQ39" i="1"/>
  <c r="BT38" i="1"/>
  <c r="BQ38" i="1"/>
  <c r="BT37" i="1"/>
  <c r="BQ37" i="1"/>
  <c r="BT36" i="1"/>
  <c r="BQ36" i="1"/>
  <c r="BT35" i="1"/>
  <c r="BQ35" i="1"/>
  <c r="BT34" i="1"/>
  <c r="BQ34" i="1"/>
  <c r="BT33" i="1"/>
  <c r="BQ33" i="1"/>
  <c r="BT32" i="1"/>
  <c r="BQ32" i="1"/>
  <c r="BT31" i="1"/>
  <c r="BQ31" i="1"/>
  <c r="BT30" i="1"/>
  <c r="BQ30" i="1"/>
  <c r="BT29" i="1"/>
  <c r="BQ29" i="1"/>
  <c r="BT28" i="1"/>
  <c r="BQ28" i="1"/>
  <c r="BT27" i="1"/>
  <c r="BQ27" i="1"/>
  <c r="BT26" i="1"/>
  <c r="BQ26" i="1"/>
  <c r="BT25" i="1"/>
  <c r="BQ25" i="1"/>
  <c r="BT24" i="1"/>
  <c r="BQ24" i="1"/>
  <c r="BT23" i="1"/>
  <c r="BQ23" i="1"/>
  <c r="BT20" i="1"/>
  <c r="BQ20" i="1"/>
  <c r="BT19" i="1"/>
  <c r="BQ19" i="1"/>
  <c r="BT18" i="1"/>
  <c r="BQ18" i="1"/>
  <c r="BT17" i="1"/>
  <c r="BQ17" i="1"/>
  <c r="BT16" i="1"/>
  <c r="BQ16" i="1"/>
  <c r="BT15" i="1"/>
  <c r="BQ15" i="1"/>
  <c r="BT14" i="1"/>
  <c r="BQ14" i="1"/>
  <c r="BT13" i="1"/>
  <c r="BQ13" i="1"/>
  <c r="BT12" i="1"/>
  <c r="BQ12" i="1"/>
  <c r="BT11" i="1"/>
  <c r="BQ11" i="1"/>
  <c r="BT10" i="1"/>
  <c r="BQ10" i="1"/>
  <c r="BT9" i="1"/>
  <c r="BQ9" i="1"/>
  <c r="BT8" i="1"/>
  <c r="BQ8" i="1"/>
  <c r="BT7" i="1"/>
  <c r="BQ7" i="1"/>
  <c r="BT6" i="1"/>
  <c r="BQ6" i="1"/>
  <c r="BT5" i="1"/>
  <c r="BQ5" i="1"/>
  <c r="BT3" i="1"/>
  <c r="BQ3" i="1"/>
  <c r="S3" i="1"/>
  <c r="AB3" i="1" s="1"/>
  <c r="Z44" i="1"/>
  <c r="N44" i="1"/>
  <c r="M42" i="1"/>
  <c r="M39" i="1"/>
  <c r="J32" i="1"/>
  <c r="K29" i="1"/>
  <c r="U29" i="1"/>
  <c r="T29" i="1" s="1"/>
  <c r="N29" i="1"/>
  <c r="AO3" i="1"/>
  <c r="AX3" i="1" s="1"/>
  <c r="AQ3" i="1"/>
  <c r="AR3" i="1" s="1"/>
  <c r="AV3" i="1" s="1"/>
  <c r="AZ3" i="1"/>
  <c r="BB3" i="1"/>
  <c r="BC3" i="1" s="1"/>
  <c r="BM3" i="1"/>
  <c r="BN3" i="1" s="1"/>
  <c r="AO5" i="1"/>
  <c r="AX5" i="1" s="1"/>
  <c r="AQ5" i="1"/>
  <c r="AR5" i="1" s="1"/>
  <c r="AU5" i="1"/>
  <c r="AZ5" i="1"/>
  <c r="BB5" i="1"/>
  <c r="BC5" i="1" s="1"/>
  <c r="BM5" i="1"/>
  <c r="BN5" i="1" s="1"/>
  <c r="AX6" i="1"/>
  <c r="AZ6" i="1"/>
  <c r="BB6" i="1"/>
  <c r="BC6" i="1" s="1"/>
  <c r="BM6" i="1"/>
  <c r="BN6" i="1" s="1"/>
  <c r="AO7" i="1"/>
  <c r="AX7" i="1" s="1"/>
  <c r="AQ7" i="1"/>
  <c r="AR7" i="1" s="1"/>
  <c r="AU7" i="1"/>
  <c r="AZ7" i="1"/>
  <c r="BB7" i="1"/>
  <c r="BC7" i="1" s="1"/>
  <c r="BM7" i="1"/>
  <c r="BN7" i="1" s="1"/>
  <c r="AO8" i="1"/>
  <c r="AX8" i="1" s="1"/>
  <c r="AQ8" i="1"/>
  <c r="AR8" i="1" s="1"/>
  <c r="AU8" i="1"/>
  <c r="AZ8" i="1"/>
  <c r="BB8" i="1"/>
  <c r="BC8" i="1" s="1"/>
  <c r="BM8" i="1"/>
  <c r="BN8" i="1" s="1"/>
  <c r="AO9" i="1"/>
  <c r="AX9" i="1" s="1"/>
  <c r="AQ9" i="1"/>
  <c r="AR9" i="1" s="1"/>
  <c r="AU9" i="1"/>
  <c r="AZ9" i="1"/>
  <c r="BB9" i="1"/>
  <c r="BC9" i="1" s="1"/>
  <c r="BM9" i="1"/>
  <c r="BN9" i="1" s="1"/>
  <c r="AO10" i="1"/>
  <c r="AX10" i="1" s="1"/>
  <c r="AQ10" i="1"/>
  <c r="AR10" i="1" s="1"/>
  <c r="AU10" i="1"/>
  <c r="AZ10" i="1"/>
  <c r="BB10" i="1"/>
  <c r="BC10" i="1" s="1"/>
  <c r="BM10" i="1"/>
  <c r="BN10" i="1" s="1"/>
  <c r="AO11" i="1"/>
  <c r="AX11" i="1" s="1"/>
  <c r="AQ11" i="1"/>
  <c r="AR11" i="1" s="1"/>
  <c r="AU11" i="1"/>
  <c r="BM11" i="1"/>
  <c r="BN11" i="1" s="1"/>
  <c r="AO12" i="1"/>
  <c r="AX12" i="1" s="1"/>
  <c r="AQ12" i="1"/>
  <c r="AR12" i="1" s="1"/>
  <c r="AU12" i="1"/>
  <c r="AZ12" i="1"/>
  <c r="BB12" i="1"/>
  <c r="BC12" i="1" s="1"/>
  <c r="BM12" i="1"/>
  <c r="BN12" i="1" s="1"/>
  <c r="AO13" i="1"/>
  <c r="AX13" i="1" s="1"/>
  <c r="AQ13" i="1"/>
  <c r="AR13" i="1" s="1"/>
  <c r="AU13" i="1"/>
  <c r="AZ13" i="1"/>
  <c r="BB13" i="1"/>
  <c r="BC13" i="1" s="1"/>
  <c r="BM13" i="1"/>
  <c r="BN13" i="1" s="1"/>
  <c r="AO14" i="1"/>
  <c r="AX14" i="1" s="1"/>
  <c r="AQ14" i="1"/>
  <c r="AR14" i="1" s="1"/>
  <c r="AU14" i="1"/>
  <c r="AZ14" i="1"/>
  <c r="BB14" i="1"/>
  <c r="BC14" i="1" s="1"/>
  <c r="BM14" i="1"/>
  <c r="BN14" i="1" s="1"/>
  <c r="AO15" i="1"/>
  <c r="AX15" i="1" s="1"/>
  <c r="AQ15" i="1"/>
  <c r="AR15" i="1" s="1"/>
  <c r="AU15" i="1"/>
  <c r="AZ15" i="1"/>
  <c r="BB15" i="1"/>
  <c r="BC15" i="1" s="1"/>
  <c r="BM15" i="1"/>
  <c r="BN15" i="1" s="1"/>
  <c r="AO16" i="1"/>
  <c r="AX16" i="1" s="1"/>
  <c r="AQ16" i="1"/>
  <c r="AR16" i="1" s="1"/>
  <c r="AU16" i="1"/>
  <c r="AZ16" i="1"/>
  <c r="BB16" i="1"/>
  <c r="BC16" i="1" s="1"/>
  <c r="BM16" i="1"/>
  <c r="BN16" i="1" s="1"/>
  <c r="AO17" i="1"/>
  <c r="AX17" i="1" s="1"/>
  <c r="AQ17" i="1"/>
  <c r="AR17" i="1" s="1"/>
  <c r="AU17" i="1"/>
  <c r="AZ17" i="1"/>
  <c r="BB17" i="1"/>
  <c r="BC17" i="1" s="1"/>
  <c r="BM17" i="1"/>
  <c r="BN17" i="1" s="1"/>
  <c r="AO18" i="1"/>
  <c r="AX18" i="1" s="1"/>
  <c r="AQ18" i="1"/>
  <c r="AR18" i="1" s="1"/>
  <c r="AU18" i="1"/>
  <c r="BM18" i="1"/>
  <c r="BN18" i="1" s="1"/>
  <c r="AO19" i="1"/>
  <c r="AX19" i="1" s="1"/>
  <c r="AQ19" i="1"/>
  <c r="AR19" i="1" s="1"/>
  <c r="AU19" i="1"/>
  <c r="AZ19" i="1"/>
  <c r="BB19" i="1"/>
  <c r="BC19" i="1" s="1"/>
  <c r="BM19" i="1"/>
  <c r="BN19" i="1" s="1"/>
  <c r="AO20" i="1"/>
  <c r="AX20" i="1" s="1"/>
  <c r="AQ20" i="1"/>
  <c r="AR20" i="1" s="1"/>
  <c r="AU20" i="1"/>
  <c r="AZ20" i="1"/>
  <c r="BB20" i="1"/>
  <c r="BC20" i="1" s="1"/>
  <c r="BM20" i="1"/>
  <c r="BN20" i="1" s="1"/>
  <c r="AX21" i="1"/>
  <c r="AZ21" i="1"/>
  <c r="BB21" i="1"/>
  <c r="BC21" i="1" s="1"/>
  <c r="AO23" i="1"/>
  <c r="AX23" i="1" s="1"/>
  <c r="AQ23" i="1"/>
  <c r="AR23" i="1" s="1"/>
  <c r="AU23" i="1"/>
  <c r="AZ23" i="1"/>
  <c r="BB23" i="1"/>
  <c r="BC23" i="1" s="1"/>
  <c r="BM23" i="1"/>
  <c r="BN23" i="1" s="1"/>
  <c r="AO24" i="1"/>
  <c r="AX24" i="1" s="1"/>
  <c r="AQ24" i="1"/>
  <c r="AR24" i="1" s="1"/>
  <c r="AZ24" i="1"/>
  <c r="BB24" i="1"/>
  <c r="BC24" i="1" s="1"/>
  <c r="BM24" i="1"/>
  <c r="BN24" i="1" s="1"/>
  <c r="AO25" i="1"/>
  <c r="AX25" i="1" s="1"/>
  <c r="AQ25" i="1"/>
  <c r="AR25" i="1" s="1"/>
  <c r="AU25" i="1"/>
  <c r="AZ25" i="1"/>
  <c r="BB25" i="1"/>
  <c r="BC25" i="1" s="1"/>
  <c r="BM25" i="1"/>
  <c r="BN25" i="1" s="1"/>
  <c r="AO26" i="1"/>
  <c r="AX26" i="1" s="1"/>
  <c r="AQ26" i="1"/>
  <c r="AR26" i="1" s="1"/>
  <c r="AU26" i="1"/>
  <c r="AZ26" i="1"/>
  <c r="BB26" i="1"/>
  <c r="BC26" i="1" s="1"/>
  <c r="BM26" i="1"/>
  <c r="BN26" i="1" s="1"/>
  <c r="AO27" i="1"/>
  <c r="AX27" i="1" s="1"/>
  <c r="AQ27" i="1"/>
  <c r="AR27" i="1" s="1"/>
  <c r="AZ27" i="1"/>
  <c r="BB27" i="1"/>
  <c r="BC27" i="1" s="1"/>
  <c r="BM27" i="1"/>
  <c r="BN27" i="1" s="1"/>
  <c r="AO28" i="1"/>
  <c r="AX28" i="1" s="1"/>
  <c r="AQ28" i="1"/>
  <c r="AR28" i="1" s="1"/>
  <c r="AU28" i="1"/>
  <c r="AZ28" i="1"/>
  <c r="BB28" i="1"/>
  <c r="BC28" i="1" s="1"/>
  <c r="BM28" i="1"/>
  <c r="BN28" i="1" s="1"/>
  <c r="AO29" i="1"/>
  <c r="AX29" i="1" s="1"/>
  <c r="AQ29" i="1"/>
  <c r="AR29" i="1" s="1"/>
  <c r="AU29" i="1"/>
  <c r="AZ29" i="1"/>
  <c r="BB29" i="1"/>
  <c r="BC29" i="1" s="1"/>
  <c r="BM29" i="1"/>
  <c r="BN29" i="1" s="1"/>
  <c r="AO30" i="1"/>
  <c r="AX30" i="1" s="1"/>
  <c r="AQ30" i="1"/>
  <c r="AR30" i="1" s="1"/>
  <c r="AU30" i="1"/>
  <c r="AZ30" i="1"/>
  <c r="BB30" i="1"/>
  <c r="BC30" i="1" s="1"/>
  <c r="BM30" i="1"/>
  <c r="BN30" i="1" s="1"/>
  <c r="AO31" i="1"/>
  <c r="AX31" i="1" s="1"/>
  <c r="AQ31" i="1"/>
  <c r="AR31" i="1" s="1"/>
  <c r="AU31" i="1"/>
  <c r="AZ31" i="1"/>
  <c r="BB31" i="1"/>
  <c r="BC31" i="1" s="1"/>
  <c r="BM31" i="1"/>
  <c r="BN31" i="1" s="1"/>
  <c r="AO32" i="1"/>
  <c r="AX32" i="1" s="1"/>
  <c r="AQ32" i="1"/>
  <c r="AR32" i="1" s="1"/>
  <c r="AU32" i="1"/>
  <c r="AZ32" i="1"/>
  <c r="BB32" i="1"/>
  <c r="BC32" i="1" s="1"/>
  <c r="BM32" i="1"/>
  <c r="BN32" i="1" s="1"/>
  <c r="AO33" i="1"/>
  <c r="AX33" i="1" s="1"/>
  <c r="AQ33" i="1"/>
  <c r="AR33" i="1" s="1"/>
  <c r="AZ33" i="1"/>
  <c r="BB33" i="1"/>
  <c r="BC33" i="1" s="1"/>
  <c r="BM33" i="1"/>
  <c r="BN33" i="1" s="1"/>
  <c r="AO34" i="1"/>
  <c r="AX34" i="1" s="1"/>
  <c r="AQ34" i="1"/>
  <c r="AR34" i="1" s="1"/>
  <c r="AU34" i="1"/>
  <c r="AZ34" i="1"/>
  <c r="BB34" i="1"/>
  <c r="BC34" i="1" s="1"/>
  <c r="BM34" i="1"/>
  <c r="BN34" i="1" s="1"/>
  <c r="AO35" i="1"/>
  <c r="AX35" i="1" s="1"/>
  <c r="AQ35" i="1"/>
  <c r="AR35" i="1" s="1"/>
  <c r="AU35" i="1"/>
  <c r="AZ35" i="1"/>
  <c r="BB35" i="1"/>
  <c r="BC35" i="1" s="1"/>
  <c r="BM35" i="1"/>
  <c r="BN35" i="1" s="1"/>
  <c r="AO36" i="1"/>
  <c r="AX36" i="1" s="1"/>
  <c r="AQ36" i="1"/>
  <c r="AR36" i="1" s="1"/>
  <c r="AZ36" i="1"/>
  <c r="BB36" i="1"/>
  <c r="BC36" i="1" s="1"/>
  <c r="BM36" i="1"/>
  <c r="BN36" i="1" s="1"/>
  <c r="AO37" i="1"/>
  <c r="AX37" i="1" s="1"/>
  <c r="AQ37" i="1"/>
  <c r="AR37" i="1" s="1"/>
  <c r="AU37" i="1"/>
  <c r="AZ37" i="1"/>
  <c r="BB37" i="1"/>
  <c r="BC37" i="1" s="1"/>
  <c r="BM37" i="1"/>
  <c r="BN37" i="1" s="1"/>
  <c r="AO38" i="1"/>
  <c r="AX38" i="1" s="1"/>
  <c r="AQ38" i="1"/>
  <c r="AZ38" i="1"/>
  <c r="BB38" i="1"/>
  <c r="BC38" i="1" s="1"/>
  <c r="BM38" i="1"/>
  <c r="BN38" i="1" s="1"/>
  <c r="AO39" i="1"/>
  <c r="AX39" i="1" s="1"/>
  <c r="AQ39" i="1"/>
  <c r="AR39" i="1" s="1"/>
  <c r="AZ39" i="1"/>
  <c r="BB39" i="1"/>
  <c r="BC39" i="1" s="1"/>
  <c r="BM39" i="1"/>
  <c r="BN39" i="1" s="1"/>
  <c r="AO40" i="1"/>
  <c r="AX40" i="1" s="1"/>
  <c r="AQ40" i="1"/>
  <c r="AR40" i="1" s="1"/>
  <c r="AU40" i="1"/>
  <c r="AZ40" i="1"/>
  <c r="BB40" i="1"/>
  <c r="BC40" i="1" s="1"/>
  <c r="BM40" i="1"/>
  <c r="BN40" i="1" s="1"/>
  <c r="AO41" i="1"/>
  <c r="AX41" i="1" s="1"/>
  <c r="AQ41" i="1"/>
  <c r="AR41" i="1" s="1"/>
  <c r="AZ41" i="1"/>
  <c r="BB41" i="1"/>
  <c r="BC41" i="1" s="1"/>
  <c r="BM41" i="1"/>
  <c r="BN41" i="1" s="1"/>
  <c r="AO42" i="1"/>
  <c r="AX42" i="1" s="1"/>
  <c r="AQ42" i="1"/>
  <c r="AR42" i="1" s="1"/>
  <c r="AZ42" i="1"/>
  <c r="BB42" i="1"/>
  <c r="BC42" i="1" s="1"/>
  <c r="BM42" i="1"/>
  <c r="BN42" i="1" s="1"/>
  <c r="AO43" i="1"/>
  <c r="AX43" i="1" s="1"/>
  <c r="AQ43" i="1"/>
  <c r="AR43" i="1" s="1"/>
  <c r="AZ43" i="1"/>
  <c r="BB43" i="1"/>
  <c r="BC43" i="1" s="1"/>
  <c r="BM43" i="1"/>
  <c r="BN43" i="1" s="1"/>
  <c r="AO44" i="1"/>
  <c r="AX44" i="1" s="1"/>
  <c r="AQ44" i="1"/>
  <c r="AR44" i="1" s="1"/>
  <c r="AZ44" i="1"/>
  <c r="BB44" i="1"/>
  <c r="BC44" i="1" s="1"/>
  <c r="BM44" i="1"/>
  <c r="BN44" i="1" s="1"/>
  <c r="AO45" i="1"/>
  <c r="AX45" i="1" s="1"/>
  <c r="AQ45" i="1"/>
  <c r="AR45" i="1" s="1"/>
  <c r="AU45" i="1"/>
  <c r="AZ45" i="1"/>
  <c r="BB45" i="1"/>
  <c r="BC45" i="1" s="1"/>
  <c r="BM45" i="1"/>
  <c r="BN45" i="1" s="1"/>
  <c r="AO46" i="1"/>
  <c r="AX46" i="1" s="1"/>
  <c r="AQ46" i="1"/>
  <c r="AR46" i="1" s="1"/>
  <c r="AZ46" i="1"/>
  <c r="BB46" i="1"/>
  <c r="BC46" i="1" s="1"/>
  <c r="BM46" i="1"/>
  <c r="BN46" i="1" s="1"/>
  <c r="AO47" i="1"/>
  <c r="AX47" i="1" s="1"/>
  <c r="AQ47" i="1"/>
  <c r="AR47" i="1" s="1"/>
  <c r="AU47" i="1"/>
  <c r="AZ47" i="1"/>
  <c r="BB47" i="1"/>
  <c r="BC47" i="1" s="1"/>
  <c r="BM47" i="1"/>
  <c r="BN47" i="1" s="1"/>
  <c r="AO48" i="1"/>
  <c r="AX48" i="1" s="1"/>
  <c r="AQ48" i="1"/>
  <c r="AR48" i="1" s="1"/>
  <c r="AU48" i="1"/>
  <c r="AZ48" i="1"/>
  <c r="BB48" i="1"/>
  <c r="BC48" i="1" s="1"/>
  <c r="BM48" i="1"/>
  <c r="BN48" i="1" s="1"/>
  <c r="AO49" i="1"/>
  <c r="AX49" i="1" s="1"/>
  <c r="AQ49" i="1"/>
  <c r="AR49" i="1" s="1"/>
  <c r="AU49" i="1"/>
  <c r="AZ49" i="1"/>
  <c r="BB49" i="1"/>
  <c r="BC49" i="1" s="1"/>
  <c r="BM49" i="1"/>
  <c r="BN49" i="1" s="1"/>
  <c r="AO50" i="1"/>
  <c r="AX50" i="1" s="1"/>
  <c r="AQ50" i="1"/>
  <c r="AR50" i="1" s="1"/>
  <c r="AU50" i="1"/>
  <c r="AZ50" i="1"/>
  <c r="BB50" i="1"/>
  <c r="BC50" i="1" s="1"/>
  <c r="BM50" i="1"/>
  <c r="BN50" i="1" s="1"/>
  <c r="AO51" i="1"/>
  <c r="AX51" i="1" s="1"/>
  <c r="AQ51" i="1"/>
  <c r="AR51" i="1" s="1"/>
  <c r="AZ51" i="1"/>
  <c r="BB51" i="1"/>
  <c r="BC51" i="1" s="1"/>
  <c r="BM51" i="1"/>
  <c r="BN51" i="1" s="1"/>
  <c r="AO52" i="1"/>
  <c r="AX52" i="1" s="1"/>
  <c r="AQ52" i="1"/>
  <c r="AR52" i="1" s="1"/>
  <c r="AZ52" i="1"/>
  <c r="BB52" i="1"/>
  <c r="BC52" i="1" s="1"/>
  <c r="BM52" i="1"/>
  <c r="BN52" i="1" s="1"/>
  <c r="AO53" i="1"/>
  <c r="AX53" i="1" s="1"/>
  <c r="AQ53" i="1"/>
  <c r="AR53" i="1" s="1"/>
  <c r="AZ53" i="1"/>
  <c r="BB53" i="1"/>
  <c r="BC53" i="1" s="1"/>
  <c r="BM53" i="1"/>
  <c r="BN53" i="1" s="1"/>
  <c r="AD3" i="1"/>
  <c r="AM3" i="1" s="1"/>
  <c r="AF3" i="1"/>
  <c r="AD5" i="1"/>
  <c r="AM5" i="1" s="1"/>
  <c r="AF5" i="1"/>
  <c r="AG5" i="1" s="1"/>
  <c r="AJ5" i="1"/>
  <c r="AD6" i="1"/>
  <c r="AM6" i="1" s="1"/>
  <c r="AF6" i="1"/>
  <c r="AG6" i="1" s="1"/>
  <c r="AJ6" i="1"/>
  <c r="AD7" i="1"/>
  <c r="AM7" i="1" s="1"/>
  <c r="AF7" i="1"/>
  <c r="AG7" i="1" s="1"/>
  <c r="AJ7" i="1"/>
  <c r="AD8" i="1"/>
  <c r="AM8" i="1" s="1"/>
  <c r="AF8" i="1"/>
  <c r="AG8" i="1" s="1"/>
  <c r="AJ8" i="1"/>
  <c r="AD9" i="1"/>
  <c r="AM9" i="1" s="1"/>
  <c r="AF9" i="1"/>
  <c r="AG9" i="1" s="1"/>
  <c r="AJ9" i="1"/>
  <c r="AD10" i="1"/>
  <c r="AM10" i="1" s="1"/>
  <c r="AF10" i="1"/>
  <c r="AG10" i="1" s="1"/>
  <c r="AJ10" i="1"/>
  <c r="AD11" i="1"/>
  <c r="AM11" i="1" s="1"/>
  <c r="AF11" i="1"/>
  <c r="AG11" i="1" s="1"/>
  <c r="AJ11" i="1"/>
  <c r="AD12" i="1"/>
  <c r="AM12" i="1" s="1"/>
  <c r="AF12" i="1"/>
  <c r="AG12" i="1" s="1"/>
  <c r="AJ12" i="1"/>
  <c r="AD13" i="1"/>
  <c r="AM13" i="1" s="1"/>
  <c r="AF13" i="1"/>
  <c r="AG13" i="1" s="1"/>
  <c r="AJ13" i="1"/>
  <c r="AD14" i="1"/>
  <c r="AM14" i="1" s="1"/>
  <c r="AD15" i="1"/>
  <c r="AM15" i="1" s="1"/>
  <c r="AF15" i="1"/>
  <c r="AG15" i="1" s="1"/>
  <c r="AJ15" i="1"/>
  <c r="AD16" i="1"/>
  <c r="AM16" i="1" s="1"/>
  <c r="AF16" i="1"/>
  <c r="AG16" i="1" s="1"/>
  <c r="AJ16" i="1"/>
  <c r="AD17" i="1"/>
  <c r="AM17" i="1" s="1"/>
  <c r="AF17" i="1"/>
  <c r="AG17" i="1" s="1"/>
  <c r="AJ17" i="1"/>
  <c r="AD19" i="1"/>
  <c r="AM19" i="1" s="1"/>
  <c r="AF19" i="1"/>
  <c r="AG19" i="1" s="1"/>
  <c r="AJ19" i="1"/>
  <c r="AD20" i="1"/>
  <c r="AM20" i="1" s="1"/>
  <c r="AF20" i="1"/>
  <c r="AG20" i="1" s="1"/>
  <c r="AJ20" i="1"/>
  <c r="AD21" i="1"/>
  <c r="AM21" i="1" s="1"/>
  <c r="AF21" i="1"/>
  <c r="AG21" i="1" s="1"/>
  <c r="AJ21" i="1"/>
  <c r="AD23" i="1"/>
  <c r="AM23" i="1" s="1"/>
  <c r="AF23" i="1"/>
  <c r="AG23" i="1" s="1"/>
  <c r="AJ23" i="1"/>
  <c r="AD24" i="1"/>
  <c r="AM24" i="1" s="1"/>
  <c r="AF24" i="1"/>
  <c r="AG24" i="1" s="1"/>
  <c r="AD25" i="1"/>
  <c r="AM25" i="1" s="1"/>
  <c r="AF25" i="1"/>
  <c r="AG25" i="1" s="1"/>
  <c r="AJ25" i="1"/>
  <c r="AD26" i="1"/>
  <c r="AM26" i="1" s="1"/>
  <c r="AF26" i="1"/>
  <c r="AG26" i="1" s="1"/>
  <c r="AJ26" i="1"/>
  <c r="AD27" i="1"/>
  <c r="AM27" i="1" s="1"/>
  <c r="AF27" i="1"/>
  <c r="AG27" i="1" s="1"/>
  <c r="AD28" i="1"/>
  <c r="AM28" i="1" s="1"/>
  <c r="AF28" i="1"/>
  <c r="AG28" i="1" s="1"/>
  <c r="AJ28" i="1"/>
  <c r="AD29" i="1"/>
  <c r="AM29" i="1" s="1"/>
  <c r="AF29" i="1"/>
  <c r="AG29" i="1" s="1"/>
  <c r="AJ29" i="1"/>
  <c r="AD30" i="1"/>
  <c r="AM30" i="1" s="1"/>
  <c r="AF30" i="1"/>
  <c r="AG30" i="1" s="1"/>
  <c r="AJ30" i="1"/>
  <c r="AD31" i="1"/>
  <c r="AM31" i="1" s="1"/>
  <c r="AF31" i="1"/>
  <c r="AG31" i="1" s="1"/>
  <c r="AJ31" i="1"/>
  <c r="AD32" i="1"/>
  <c r="AM32" i="1" s="1"/>
  <c r="AF32" i="1"/>
  <c r="AG32" i="1" s="1"/>
  <c r="AJ32" i="1"/>
  <c r="AD33" i="1"/>
  <c r="AM33" i="1" s="1"/>
  <c r="AF33" i="1"/>
  <c r="AG33" i="1" s="1"/>
  <c r="AD34" i="1"/>
  <c r="AM34" i="1" s="1"/>
  <c r="AF34" i="1"/>
  <c r="AG34" i="1" s="1"/>
  <c r="AJ34" i="1"/>
  <c r="AD35" i="1"/>
  <c r="AM35" i="1" s="1"/>
  <c r="AF35" i="1"/>
  <c r="AG35" i="1" s="1"/>
  <c r="AJ35" i="1"/>
  <c r="AD36" i="1"/>
  <c r="AM36" i="1" s="1"/>
  <c r="AF36" i="1"/>
  <c r="AG36" i="1" s="1"/>
  <c r="AD37" i="1"/>
  <c r="AM37" i="1" s="1"/>
  <c r="AF37" i="1"/>
  <c r="AG37" i="1" s="1"/>
  <c r="AJ37" i="1"/>
  <c r="AD38" i="1"/>
  <c r="AM38" i="1" s="1"/>
  <c r="AD39" i="1"/>
  <c r="AM39" i="1" s="1"/>
  <c r="AF39" i="1"/>
  <c r="AD40" i="1"/>
  <c r="AM40" i="1" s="1"/>
  <c r="AF40" i="1"/>
  <c r="AG40" i="1" s="1"/>
  <c r="AJ40" i="1"/>
  <c r="AD41" i="1"/>
  <c r="AM41" i="1" s="1"/>
  <c r="AF41" i="1"/>
  <c r="AD42" i="1"/>
  <c r="AM42" i="1" s="1"/>
  <c r="AF42" i="1"/>
  <c r="AD43" i="1"/>
  <c r="AM43" i="1" s="1"/>
  <c r="AF43" i="1"/>
  <c r="AG43" i="1" s="1"/>
  <c r="AD44" i="1"/>
  <c r="AM44" i="1" s="1"/>
  <c r="AF44" i="1"/>
  <c r="AG44" i="1" s="1"/>
  <c r="AD46" i="1"/>
  <c r="AM46" i="1" s="1"/>
  <c r="AF46" i="1"/>
  <c r="AG46" i="1" s="1"/>
  <c r="AD47" i="1"/>
  <c r="AM47" i="1" s="1"/>
  <c r="AF47" i="1"/>
  <c r="AG47" i="1" s="1"/>
  <c r="AJ47" i="1"/>
  <c r="AD48" i="1"/>
  <c r="AM48" i="1" s="1"/>
  <c r="AF48" i="1"/>
  <c r="AG48" i="1" s="1"/>
  <c r="AJ48" i="1"/>
  <c r="AD49" i="1"/>
  <c r="AM49" i="1" s="1"/>
  <c r="AF49" i="1"/>
  <c r="AG49" i="1" s="1"/>
  <c r="AJ49" i="1"/>
  <c r="AD50" i="1"/>
  <c r="AM50" i="1" s="1"/>
  <c r="AF50" i="1"/>
  <c r="AG50" i="1" s="1"/>
  <c r="AJ50" i="1"/>
  <c r="AD51" i="1"/>
  <c r="AM51" i="1" s="1"/>
  <c r="AF51" i="1"/>
  <c r="AG51" i="1" s="1"/>
  <c r="AD52" i="1"/>
  <c r="AM52" i="1" s="1"/>
  <c r="AF52" i="1"/>
  <c r="AG52" i="1" s="1"/>
  <c r="AD53" i="1"/>
  <c r="AM53" i="1" s="1"/>
  <c r="AF53" i="1"/>
  <c r="AG53" i="1" s="1"/>
  <c r="K5" i="1"/>
  <c r="Q5" i="1" s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3" i="1"/>
  <c r="K24" i="1"/>
  <c r="K25" i="1"/>
  <c r="K26" i="1"/>
  <c r="K27" i="1"/>
  <c r="K28" i="1"/>
  <c r="K30" i="1"/>
  <c r="K31" i="1"/>
  <c r="K33" i="1"/>
  <c r="K34" i="1"/>
  <c r="K35" i="1"/>
  <c r="K36" i="1"/>
  <c r="K37" i="1"/>
  <c r="K38" i="1"/>
  <c r="K39" i="1"/>
  <c r="K40" i="1"/>
  <c r="K41" i="1"/>
  <c r="K43" i="1"/>
  <c r="K44" i="1"/>
  <c r="K45" i="1"/>
  <c r="K46" i="1"/>
  <c r="K48" i="1"/>
  <c r="Q48" i="1" s="1"/>
  <c r="K49" i="1"/>
  <c r="K51" i="1"/>
  <c r="K52" i="1"/>
  <c r="K53" i="1"/>
  <c r="S5" i="1"/>
  <c r="AB5" i="1" s="1"/>
  <c r="S6" i="1"/>
  <c r="AB6" i="1" s="1"/>
  <c r="S7" i="1"/>
  <c r="AB7" i="1" s="1"/>
  <c r="S8" i="1"/>
  <c r="AB8" i="1" s="1"/>
  <c r="S9" i="1"/>
  <c r="AB9" i="1" s="1"/>
  <c r="S10" i="1"/>
  <c r="AB10" i="1" s="1"/>
  <c r="S11" i="1"/>
  <c r="AB11" i="1" s="1"/>
  <c r="S12" i="1"/>
  <c r="AB12" i="1" s="1"/>
  <c r="S13" i="1"/>
  <c r="AB13" i="1" s="1"/>
  <c r="S14" i="1"/>
  <c r="AB14" i="1" s="1"/>
  <c r="S15" i="1"/>
  <c r="AB15" i="1" s="1"/>
  <c r="S16" i="1"/>
  <c r="AB16" i="1" s="1"/>
  <c r="S17" i="1"/>
  <c r="AB17" i="1" s="1"/>
  <c r="S18" i="1"/>
  <c r="AB18" i="1" s="1"/>
  <c r="S19" i="1"/>
  <c r="AB19" i="1" s="1"/>
  <c r="S21" i="1"/>
  <c r="AB21" i="1" s="1"/>
  <c r="S23" i="1"/>
  <c r="AB23" i="1" s="1"/>
  <c r="S24" i="1"/>
  <c r="AB24" i="1" s="1"/>
  <c r="S25" i="1"/>
  <c r="AB25" i="1" s="1"/>
  <c r="AB26" i="1"/>
  <c r="S27" i="1"/>
  <c r="AB27" i="1" s="1"/>
  <c r="S28" i="1"/>
  <c r="AB28" i="1" s="1"/>
  <c r="S29" i="1"/>
  <c r="AB29" i="1" s="1"/>
  <c r="S30" i="1"/>
  <c r="AB30" i="1" s="1"/>
  <c r="AB31" i="1"/>
  <c r="S32" i="1"/>
  <c r="AB32" i="1" s="1"/>
  <c r="S34" i="1"/>
  <c r="AB34" i="1" s="1"/>
  <c r="S35" i="1"/>
  <c r="AB35" i="1" s="1"/>
  <c r="S36" i="1"/>
  <c r="AB36" i="1" s="1"/>
  <c r="S37" i="1"/>
  <c r="AB37" i="1" s="1"/>
  <c r="S38" i="1"/>
  <c r="AB38" i="1" s="1"/>
  <c r="S39" i="1"/>
  <c r="AB39" i="1" s="1"/>
  <c r="S40" i="1"/>
  <c r="AB40" i="1" s="1"/>
  <c r="S42" i="1"/>
  <c r="AB42" i="1" s="1"/>
  <c r="S43" i="1"/>
  <c r="AB43" i="1" s="1"/>
  <c r="S44" i="1"/>
  <c r="AB44" i="1" s="1"/>
  <c r="S45" i="1"/>
  <c r="AB45" i="1" s="1"/>
  <c r="S46" i="1"/>
  <c r="AB46" i="1" s="1"/>
  <c r="S48" i="1"/>
  <c r="AB48" i="1" s="1"/>
  <c r="S49" i="1"/>
  <c r="AB49" i="1" s="1"/>
  <c r="S51" i="1"/>
  <c r="AB51" i="1" s="1"/>
  <c r="S52" i="1"/>
  <c r="AB52" i="1" s="1"/>
  <c r="S53" i="1"/>
  <c r="AB53" i="1" s="1"/>
  <c r="X5" i="1"/>
  <c r="X6" i="1"/>
  <c r="X7" i="1"/>
  <c r="X9" i="1"/>
  <c r="X10" i="1"/>
  <c r="X11" i="1"/>
  <c r="BU11" i="1" s="1"/>
  <c r="X12" i="1"/>
  <c r="X13" i="1"/>
  <c r="X14" i="1"/>
  <c r="X15" i="1"/>
  <c r="X16" i="1"/>
  <c r="X17" i="1"/>
  <c r="X18" i="1"/>
  <c r="X19" i="1"/>
  <c r="X20" i="1"/>
  <c r="X21" i="1"/>
  <c r="Y21" i="1" s="1"/>
  <c r="X23" i="1"/>
  <c r="X31" i="1"/>
  <c r="X32" i="1"/>
  <c r="X47" i="1"/>
  <c r="X48" i="1"/>
  <c r="X49" i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CH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N28" i="1"/>
  <c r="O28" i="1" s="1"/>
  <c r="N30" i="1"/>
  <c r="O30" i="1" s="1"/>
  <c r="N31" i="1"/>
  <c r="O31" i="1" s="1"/>
  <c r="N33" i="1"/>
  <c r="N34" i="1"/>
  <c r="O34" i="1" s="1"/>
  <c r="N35" i="1"/>
  <c r="O35" i="1" s="1"/>
  <c r="N36" i="1"/>
  <c r="N37" i="1"/>
  <c r="O37" i="1" s="1"/>
  <c r="O38" i="1"/>
  <c r="O39" i="1"/>
  <c r="O40" i="1"/>
  <c r="O41" i="1"/>
  <c r="O42" i="1"/>
  <c r="N45" i="1"/>
  <c r="N46" i="1"/>
  <c r="O46" i="1" s="1"/>
  <c r="N47" i="1"/>
  <c r="O48" i="1"/>
  <c r="N51" i="1"/>
  <c r="O51" i="1" s="1"/>
  <c r="N52" i="1"/>
  <c r="O52" i="1" s="1"/>
  <c r="N53" i="1"/>
  <c r="O53" i="1" s="1"/>
  <c r="U5" i="1"/>
  <c r="U6" i="1"/>
  <c r="U7" i="1"/>
  <c r="U9" i="1"/>
  <c r="U10" i="1"/>
  <c r="U11" i="1"/>
  <c r="U12" i="1"/>
  <c r="U13" i="1"/>
  <c r="U14" i="1"/>
  <c r="V14" i="1" s="1"/>
  <c r="U16" i="1"/>
  <c r="U17" i="1"/>
  <c r="U18" i="1"/>
  <c r="V18" i="1" s="1"/>
  <c r="U23" i="1"/>
  <c r="U28" i="1"/>
  <c r="U30" i="1"/>
  <c r="U31" i="1"/>
  <c r="U32" i="1"/>
  <c r="V33" i="1"/>
  <c r="U34" i="1"/>
  <c r="V36" i="1"/>
  <c r="V39" i="1"/>
  <c r="V41" i="1"/>
  <c r="V42" i="1"/>
  <c r="Z42" i="1" s="1"/>
  <c r="U43" i="1"/>
  <c r="U46" i="1"/>
  <c r="U48" i="1"/>
  <c r="V48" i="1" s="1"/>
  <c r="U49" i="1"/>
  <c r="U52" i="1"/>
  <c r="U53" i="1"/>
  <c r="U3" i="1"/>
  <c r="K3" i="1"/>
  <c r="Q3" i="1" s="1"/>
  <c r="N3" i="1"/>
  <c r="CH14" i="1" l="1"/>
  <c r="BR35" i="1"/>
  <c r="BR47" i="1"/>
  <c r="BR3" i="1"/>
  <c r="BR39" i="1"/>
  <c r="BR48" i="1"/>
  <c r="BR43" i="1"/>
  <c r="BR38" i="1"/>
  <c r="BR32" i="1"/>
  <c r="BR12" i="1"/>
  <c r="CI42" i="1"/>
  <c r="BV11" i="1"/>
  <c r="CK11" i="1"/>
  <c r="CH27" i="1"/>
  <c r="BR50" i="1"/>
  <c r="BR16" i="1"/>
  <c r="BR14" i="1"/>
  <c r="BR31" i="1"/>
  <c r="BR36" i="1"/>
  <c r="BR18" i="1"/>
  <c r="CI22" i="1"/>
  <c r="BR37" i="1"/>
  <c r="BR44" i="1"/>
  <c r="CH24" i="1"/>
  <c r="BR49" i="1"/>
  <c r="BR53" i="1"/>
  <c r="AV48" i="1"/>
  <c r="AV5" i="1"/>
  <c r="BR7" i="1"/>
  <c r="BR46" i="1"/>
  <c r="BR42" i="1"/>
  <c r="BR11" i="1"/>
  <c r="BR34" i="1"/>
  <c r="CI3" i="1"/>
  <c r="O3" i="1"/>
  <c r="BW3" i="1"/>
  <c r="BX3" i="1" s="1"/>
  <c r="BR27" i="1"/>
  <c r="BR28" i="1"/>
  <c r="BR29" i="1"/>
  <c r="BR13" i="1"/>
  <c r="CH20" i="1"/>
  <c r="BR20" i="1"/>
  <c r="BR5" i="1"/>
  <c r="CH8" i="1"/>
  <c r="CH51" i="1"/>
  <c r="CH21" i="1"/>
  <c r="CH19" i="1"/>
  <c r="CH47" i="1"/>
  <c r="CH25" i="1"/>
  <c r="CH48" i="1"/>
  <c r="CH29" i="1"/>
  <c r="AV12" i="1"/>
  <c r="AV11" i="1"/>
  <c r="AV25" i="1"/>
  <c r="BR10" i="1"/>
  <c r="AV28" i="1"/>
  <c r="AV20" i="1"/>
  <c r="AV50" i="1"/>
  <c r="AV35" i="1"/>
  <c r="BR24" i="1"/>
  <c r="AV14" i="1"/>
  <c r="AV7" i="1"/>
  <c r="CI48" i="1"/>
  <c r="AV45" i="1"/>
  <c r="BR25" i="1"/>
  <c r="AV18" i="1"/>
  <c r="CI50" i="1"/>
  <c r="BR45" i="1"/>
  <c r="AV31" i="1"/>
  <c r="BR41" i="1"/>
  <c r="BR23" i="1"/>
  <c r="CG8" i="1"/>
  <c r="BR33" i="1"/>
  <c r="BR26" i="1"/>
  <c r="BR19" i="1"/>
  <c r="AV16" i="1"/>
  <c r="AV9" i="1"/>
  <c r="AV19" i="1"/>
  <c r="AV40" i="1"/>
  <c r="AV8" i="1"/>
  <c r="AV29" i="1"/>
  <c r="AV32" i="1"/>
  <c r="BR17" i="1"/>
  <c r="AV17" i="1"/>
  <c r="BR6" i="1"/>
  <c r="BR52" i="1"/>
  <c r="BR9" i="1"/>
  <c r="AV34" i="1"/>
  <c r="BR51" i="1"/>
  <c r="BR40" i="1"/>
  <c r="AV37" i="1"/>
  <c r="AV30" i="1"/>
  <c r="AV23" i="1"/>
  <c r="AV26" i="1"/>
  <c r="AV15" i="1"/>
  <c r="AV47" i="1"/>
  <c r="AV10" i="1"/>
  <c r="AV49" i="1"/>
  <c r="BR30" i="1"/>
  <c r="AV13" i="1"/>
  <c r="CG21" i="1"/>
  <c r="CG47" i="1"/>
  <c r="BR15" i="1"/>
  <c r="BR8" i="1"/>
  <c r="V3" i="1"/>
  <c r="BY50" i="1"/>
  <c r="BY22" i="1"/>
  <c r="O26" i="1"/>
  <c r="CH26" i="1" s="1"/>
  <c r="BW26" i="1"/>
  <c r="BX26" i="1" s="1"/>
  <c r="AR38" i="1"/>
  <c r="BW47" i="1"/>
  <c r="BX47" i="1" s="1"/>
  <c r="AG41" i="1"/>
  <c r="CH41" i="1" s="1"/>
  <c r="BW41" i="1"/>
  <c r="BX41" i="1" s="1"/>
  <c r="BY42" i="1"/>
  <c r="O44" i="1"/>
  <c r="CH44" i="1" s="1"/>
  <c r="BW44" i="1"/>
  <c r="BX44" i="1" s="1"/>
  <c r="O33" i="1"/>
  <c r="CH33" i="1" s="1"/>
  <c r="BW33" i="1"/>
  <c r="BX33" i="1" s="1"/>
  <c r="AU51" i="1"/>
  <c r="AV51" i="1" s="1"/>
  <c r="BU51" i="1"/>
  <c r="BV51" i="1" s="1"/>
  <c r="AU42" i="1"/>
  <c r="AV42" i="1" s="1"/>
  <c r="BU42" i="1"/>
  <c r="AU39" i="1"/>
  <c r="AV39" i="1" s="1"/>
  <c r="AU36" i="1"/>
  <c r="AV36" i="1" s="1"/>
  <c r="AU33" i="1"/>
  <c r="AV33" i="1" s="1"/>
  <c r="BU33" i="1"/>
  <c r="AU27" i="1"/>
  <c r="AV27" i="1" s="1"/>
  <c r="BU27" i="1"/>
  <c r="BV27" i="1" s="1"/>
  <c r="AU24" i="1"/>
  <c r="AV24" i="1" s="1"/>
  <c r="BU24" i="1"/>
  <c r="BV24" i="1" s="1"/>
  <c r="AU41" i="1"/>
  <c r="AV41" i="1" s="1"/>
  <c r="AU53" i="1"/>
  <c r="AV53" i="1" s="1"/>
  <c r="BU53" i="1"/>
  <c r="BV53" i="1" s="1"/>
  <c r="AU44" i="1"/>
  <c r="AV44" i="1" s="1"/>
  <c r="BU44" i="1"/>
  <c r="BV44" i="1" s="1"/>
  <c r="O36" i="1"/>
  <c r="CH36" i="1" s="1"/>
  <c r="BW36" i="1"/>
  <c r="BW27" i="1"/>
  <c r="BX27" i="1" s="1"/>
  <c r="AU38" i="1"/>
  <c r="CG38" i="1" s="1"/>
  <c r="BU38" i="1"/>
  <c r="BV38" i="1" s="1"/>
  <c r="AG39" i="1"/>
  <c r="CH39" i="1" s="1"/>
  <c r="BW39" i="1"/>
  <c r="BX39" i="1" s="1"/>
  <c r="BW29" i="1"/>
  <c r="BX29" i="1" s="1"/>
  <c r="AG42" i="1"/>
  <c r="CH42" i="1" s="1"/>
  <c r="BW42" i="1"/>
  <c r="BX42" i="1" s="1"/>
  <c r="AU52" i="1"/>
  <c r="AV52" i="1" s="1"/>
  <c r="BU52" i="1"/>
  <c r="BV52" i="1" s="1"/>
  <c r="AU46" i="1"/>
  <c r="AV46" i="1" s="1"/>
  <c r="BU46" i="1"/>
  <c r="BV46" i="1" s="1"/>
  <c r="AU43" i="1"/>
  <c r="AV43" i="1" s="1"/>
  <c r="BU43" i="1"/>
  <c r="BV43" i="1" s="1"/>
  <c r="V53" i="1"/>
  <c r="BW53" i="1"/>
  <c r="BX53" i="1" s="1"/>
  <c r="V52" i="1"/>
  <c r="Z52" i="1" s="1"/>
  <c r="BW52" i="1"/>
  <c r="BX52" i="1" s="1"/>
  <c r="Z51" i="1"/>
  <c r="BW51" i="1"/>
  <c r="BX51" i="1" s="1"/>
  <c r="V49" i="1"/>
  <c r="CH49" i="1" s="1"/>
  <c r="BW49" i="1"/>
  <c r="BX49" i="1" s="1"/>
  <c r="BW48" i="1"/>
  <c r="BX48" i="1" s="1"/>
  <c r="V43" i="1"/>
  <c r="Z43" i="1" s="1"/>
  <c r="V37" i="1"/>
  <c r="CH37" i="1" s="1"/>
  <c r="BW37" i="1"/>
  <c r="BX37" i="1" s="1"/>
  <c r="V35" i="1"/>
  <c r="CH35" i="1" s="1"/>
  <c r="BW35" i="1"/>
  <c r="BX35" i="1" s="1"/>
  <c r="V34" i="1"/>
  <c r="CH34" i="1" s="1"/>
  <c r="BW34" i="1"/>
  <c r="BX34" i="1" s="1"/>
  <c r="V32" i="1"/>
  <c r="V31" i="1"/>
  <c r="CH31" i="1" s="1"/>
  <c r="BW31" i="1"/>
  <c r="BX31" i="1" s="1"/>
  <c r="V30" i="1"/>
  <c r="CH30" i="1" s="1"/>
  <c r="BW30" i="1"/>
  <c r="BX30" i="1" s="1"/>
  <c r="V28" i="1"/>
  <c r="CH28" i="1" s="1"/>
  <c r="BW28" i="1"/>
  <c r="BX28" i="1" s="1"/>
  <c r="BW25" i="1"/>
  <c r="BX25" i="1" s="1"/>
  <c r="Z24" i="1"/>
  <c r="BW24" i="1"/>
  <c r="BX24" i="1" s="1"/>
  <c r="V23" i="1"/>
  <c r="CH23" i="1" s="1"/>
  <c r="BW23" i="1"/>
  <c r="BX23" i="1" s="1"/>
  <c r="CH22" i="1"/>
  <c r="BW22" i="1"/>
  <c r="BX22" i="1" s="1"/>
  <c r="BW20" i="1"/>
  <c r="BX20" i="1" s="1"/>
  <c r="BW19" i="1"/>
  <c r="BX19" i="1" s="1"/>
  <c r="V17" i="1"/>
  <c r="CH17" i="1" s="1"/>
  <c r="BW17" i="1"/>
  <c r="BX17" i="1" s="1"/>
  <c r="V16" i="1"/>
  <c r="CH16" i="1" s="1"/>
  <c r="BW16" i="1"/>
  <c r="BX16" i="1" s="1"/>
  <c r="BW15" i="1"/>
  <c r="BX15" i="1" s="1"/>
  <c r="V13" i="1"/>
  <c r="CH13" i="1" s="1"/>
  <c r="BW13" i="1"/>
  <c r="BX13" i="1" s="1"/>
  <c r="V12" i="1"/>
  <c r="CH12" i="1" s="1"/>
  <c r="BW12" i="1"/>
  <c r="BX12" i="1" s="1"/>
  <c r="V11" i="1"/>
  <c r="V10" i="1"/>
  <c r="CH10" i="1" s="1"/>
  <c r="BW10" i="1"/>
  <c r="BX10" i="1" s="1"/>
  <c r="V9" i="1"/>
  <c r="CH9" i="1" s="1"/>
  <c r="BW9" i="1"/>
  <c r="BX9" i="1" s="1"/>
  <c r="BW8" i="1"/>
  <c r="BX8" i="1" s="1"/>
  <c r="V7" i="1"/>
  <c r="CH7" i="1" s="1"/>
  <c r="BW7" i="1"/>
  <c r="BX7" i="1" s="1"/>
  <c r="V6" i="1"/>
  <c r="CH6" i="1" s="1"/>
  <c r="BW6" i="1"/>
  <c r="BX6" i="1" s="1"/>
  <c r="V5" i="1"/>
  <c r="CH5" i="1" s="1"/>
  <c r="CJ5" i="1" s="1"/>
  <c r="BW5" i="1"/>
  <c r="BX5" i="1" s="1"/>
  <c r="Y49" i="1"/>
  <c r="CG49" i="1" s="1"/>
  <c r="BU49" i="1"/>
  <c r="BV49" i="1" s="1"/>
  <c r="Y48" i="1"/>
  <c r="CG48" i="1" s="1"/>
  <c r="BU48" i="1"/>
  <c r="BV48" i="1" s="1"/>
  <c r="Y40" i="1"/>
  <c r="CG40" i="1" s="1"/>
  <c r="BU40" i="1"/>
  <c r="BV40" i="1" s="1"/>
  <c r="Y37" i="1"/>
  <c r="CG37" i="1" s="1"/>
  <c r="BU37" i="1"/>
  <c r="BV37" i="1" s="1"/>
  <c r="Y35" i="1"/>
  <c r="CG35" i="1" s="1"/>
  <c r="BU35" i="1"/>
  <c r="BV35" i="1" s="1"/>
  <c r="Y34" i="1"/>
  <c r="CG34" i="1" s="1"/>
  <c r="BU34" i="1"/>
  <c r="BV34" i="1" s="1"/>
  <c r="Y32" i="1"/>
  <c r="BU32" i="1"/>
  <c r="Y31" i="1"/>
  <c r="CG31" i="1" s="1"/>
  <c r="BU31" i="1"/>
  <c r="BV31" i="1" s="1"/>
  <c r="Y30" i="1"/>
  <c r="CG30" i="1" s="1"/>
  <c r="BU30" i="1"/>
  <c r="BV30" i="1" s="1"/>
  <c r="Y29" i="1"/>
  <c r="Y28" i="1"/>
  <c r="CG28" i="1" s="1"/>
  <c r="BU28" i="1"/>
  <c r="BV28" i="1" s="1"/>
  <c r="Y26" i="1"/>
  <c r="BU26" i="1"/>
  <c r="BV26" i="1" s="1"/>
  <c r="Y25" i="1"/>
  <c r="CG25" i="1" s="1"/>
  <c r="BU25" i="1"/>
  <c r="BV25" i="1" s="1"/>
  <c r="Y23" i="1"/>
  <c r="CG23" i="1" s="1"/>
  <c r="BU23" i="1"/>
  <c r="BV23" i="1" s="1"/>
  <c r="CG22" i="1"/>
  <c r="BU22" i="1"/>
  <c r="Y20" i="1"/>
  <c r="CG20" i="1" s="1"/>
  <c r="BU20" i="1"/>
  <c r="BV20" i="1" s="1"/>
  <c r="Y19" i="1"/>
  <c r="CG19" i="1" s="1"/>
  <c r="BU19" i="1"/>
  <c r="BV19" i="1" s="1"/>
  <c r="Y18" i="1"/>
  <c r="Y17" i="1"/>
  <c r="CG17" i="1" s="1"/>
  <c r="BU17" i="1"/>
  <c r="BV17" i="1" s="1"/>
  <c r="Y16" i="1"/>
  <c r="CG16" i="1" s="1"/>
  <c r="BU16" i="1"/>
  <c r="BV16" i="1" s="1"/>
  <c r="Y15" i="1"/>
  <c r="CG15" i="1" s="1"/>
  <c r="BU15" i="1"/>
  <c r="BV15" i="1" s="1"/>
  <c r="Y14" i="1"/>
  <c r="BU14" i="1"/>
  <c r="BV14" i="1" s="1"/>
  <c r="Y13" i="1"/>
  <c r="BU13" i="1"/>
  <c r="BV13" i="1" s="1"/>
  <c r="Y12" i="1"/>
  <c r="CG12" i="1" s="1"/>
  <c r="BU12" i="1"/>
  <c r="BV12" i="1" s="1"/>
  <c r="Y11" i="1"/>
  <c r="Y10" i="1"/>
  <c r="CG10" i="1" s="1"/>
  <c r="BU10" i="1"/>
  <c r="Y9" i="1"/>
  <c r="CG9" i="1" s="1"/>
  <c r="BU9" i="1"/>
  <c r="BV8" i="1"/>
  <c r="Y7" i="1"/>
  <c r="CG7" i="1" s="1"/>
  <c r="BU7" i="1"/>
  <c r="Y6" i="1"/>
  <c r="CG6" i="1" s="1"/>
  <c r="BU6" i="1"/>
  <c r="Y5" i="1"/>
  <c r="CG5" i="1" s="1"/>
  <c r="BU5" i="1"/>
  <c r="Y3" i="1"/>
  <c r="CG3" i="1" s="1"/>
  <c r="CF3" i="1" s="1"/>
  <c r="BU21" i="1"/>
  <c r="BV21" i="1" s="1"/>
  <c r="V40" i="1"/>
  <c r="CH40" i="1" s="1"/>
  <c r="BW40" i="1"/>
  <c r="BX40" i="1" s="1"/>
  <c r="O45" i="1"/>
  <c r="CH45" i="1" s="1"/>
  <c r="BW45" i="1"/>
  <c r="BX45" i="1" s="1"/>
  <c r="V46" i="1"/>
  <c r="Z46" i="1" s="1"/>
  <c r="BW46" i="1"/>
  <c r="BX46" i="1" s="1"/>
  <c r="BU47" i="1"/>
  <c r="BV47" i="1" s="1"/>
  <c r="BW21" i="1"/>
  <c r="BX21" i="1" s="1"/>
  <c r="BW14" i="1"/>
  <c r="BX14" i="1" s="1"/>
  <c r="AG3" i="1"/>
  <c r="AK3" i="1" s="1"/>
  <c r="Q33" i="1"/>
  <c r="BY33" i="1" s="1"/>
  <c r="Q51" i="1"/>
  <c r="BY51" i="1" s="1"/>
  <c r="Q37" i="1"/>
  <c r="BY37" i="1" s="1"/>
  <c r="Q23" i="1"/>
  <c r="BY23" i="1" s="1"/>
  <c r="Q10" i="1"/>
  <c r="BY10" i="1" s="1"/>
  <c r="Q47" i="1"/>
  <c r="BY47" i="1" s="1"/>
  <c r="Q19" i="1"/>
  <c r="BY19" i="1" s="1"/>
  <c r="Q49" i="1"/>
  <c r="BY49" i="1" s="1"/>
  <c r="Q36" i="1"/>
  <c r="BY36" i="1" s="1"/>
  <c r="Q21" i="1"/>
  <c r="BY21" i="1" s="1"/>
  <c r="Q9" i="1"/>
  <c r="BY9" i="1" s="1"/>
  <c r="BY48" i="1"/>
  <c r="Q35" i="1"/>
  <c r="BY35" i="1" s="1"/>
  <c r="Q20" i="1"/>
  <c r="Q8" i="1"/>
  <c r="BY8" i="1" s="1"/>
  <c r="Q45" i="1"/>
  <c r="CI45" i="1" s="1"/>
  <c r="Q31" i="1"/>
  <c r="BY31" i="1" s="1"/>
  <c r="Q17" i="1"/>
  <c r="BY17" i="1" s="1"/>
  <c r="BY5" i="1"/>
  <c r="Q34" i="1"/>
  <c r="BY34" i="1" s="1"/>
  <c r="Q7" i="1"/>
  <c r="BY7" i="1" s="1"/>
  <c r="Q43" i="1"/>
  <c r="BY43" i="1" s="1"/>
  <c r="Q28" i="1"/>
  <c r="BY28" i="1" s="1"/>
  <c r="Q15" i="1"/>
  <c r="Q41" i="1"/>
  <c r="Q27" i="1"/>
  <c r="BY27" i="1" s="1"/>
  <c r="Q14" i="1"/>
  <c r="BY14" i="1" s="1"/>
  <c r="Q40" i="1"/>
  <c r="BY40" i="1" s="1"/>
  <c r="Q26" i="1"/>
  <c r="BY26" i="1" s="1"/>
  <c r="Q13" i="1"/>
  <c r="BY13" i="1" s="1"/>
  <c r="Q53" i="1"/>
  <c r="BY53" i="1" s="1"/>
  <c r="Q39" i="1"/>
  <c r="BY39" i="1" s="1"/>
  <c r="Q25" i="1"/>
  <c r="BY25" i="1" s="1"/>
  <c r="Q12" i="1"/>
  <c r="BY12" i="1" s="1"/>
  <c r="Q46" i="1"/>
  <c r="BY46" i="1" s="1"/>
  <c r="Q18" i="1"/>
  <c r="Q6" i="1"/>
  <c r="BY6" i="1" s="1"/>
  <c r="Q44" i="1"/>
  <c r="BY44" i="1" s="1"/>
  <c r="Q30" i="1"/>
  <c r="BY30" i="1" s="1"/>
  <c r="Q16" i="1"/>
  <c r="Q52" i="1"/>
  <c r="BY52" i="1" s="1"/>
  <c r="Q38" i="1"/>
  <c r="BY38" i="1" s="1"/>
  <c r="Q24" i="1"/>
  <c r="BY24" i="1" s="1"/>
  <c r="Q11" i="1"/>
  <c r="Q29" i="1"/>
  <c r="BY29" i="1" s="1"/>
  <c r="AJ53" i="1"/>
  <c r="AK53" i="1" s="1"/>
  <c r="AJ52" i="1"/>
  <c r="AK52" i="1" s="1"/>
  <c r="AJ51" i="1"/>
  <c r="AK51" i="1" s="1"/>
  <c r="AJ46" i="1"/>
  <c r="AK46" i="1" s="1"/>
  <c r="AJ44" i="1"/>
  <c r="AK44" i="1" s="1"/>
  <c r="AJ43" i="1"/>
  <c r="AK43" i="1" s="1"/>
  <c r="AJ42" i="1"/>
  <c r="AJ41" i="1"/>
  <c r="AJ39" i="1"/>
  <c r="AJ36" i="1"/>
  <c r="AK36" i="1" s="1"/>
  <c r="AJ33" i="1"/>
  <c r="AK33" i="1" s="1"/>
  <c r="AJ27" i="1"/>
  <c r="AK27" i="1" s="1"/>
  <c r="AJ24" i="1"/>
  <c r="AK24" i="1" s="1"/>
  <c r="AJ14" i="1"/>
  <c r="AK14" i="1" s="1"/>
  <c r="K32" i="1"/>
  <c r="K55" i="1" s="1"/>
  <c r="L32" i="1"/>
  <c r="N50" i="1"/>
  <c r="O50" i="1" s="1"/>
  <c r="L50" i="1"/>
  <c r="BG45" i="1"/>
  <c r="BG13" i="1"/>
  <c r="BG49" i="1"/>
  <c r="AK7" i="1"/>
  <c r="BG20" i="1"/>
  <c r="BG44" i="1"/>
  <c r="BG38" i="1"/>
  <c r="BG23" i="1"/>
  <c r="BG17" i="1"/>
  <c r="BG10" i="1"/>
  <c r="AK34" i="1"/>
  <c r="BG50" i="1"/>
  <c r="BG16" i="1"/>
  <c r="BG15" i="1"/>
  <c r="AK19" i="1"/>
  <c r="BG5" i="1"/>
  <c r="BG32" i="1"/>
  <c r="BG29" i="1"/>
  <c r="BG27" i="1"/>
  <c r="AK29" i="1"/>
  <c r="AK50" i="1"/>
  <c r="AK23" i="1"/>
  <c r="AK16" i="1"/>
  <c r="AK9" i="1"/>
  <c r="M44" i="1"/>
  <c r="Z21" i="1"/>
  <c r="J29" i="1"/>
  <c r="BG19" i="1"/>
  <c r="BG14" i="1"/>
  <c r="BG8" i="1"/>
  <c r="AK35" i="1"/>
  <c r="BG33" i="1"/>
  <c r="Z45" i="1"/>
  <c r="AK49" i="1"/>
  <c r="AK15" i="1"/>
  <c r="AK8" i="1"/>
  <c r="BG53" i="1"/>
  <c r="BG48" i="1"/>
  <c r="BG43" i="1"/>
  <c r="AK47" i="1"/>
  <c r="AK40" i="1"/>
  <c r="AK20" i="1"/>
  <c r="BG9" i="1"/>
  <c r="AK25" i="1"/>
  <c r="AK48" i="1"/>
  <c r="AK21" i="1"/>
  <c r="BG21" i="1"/>
  <c r="AK11" i="1"/>
  <c r="BG40" i="1"/>
  <c r="BG35" i="1"/>
  <c r="BG30" i="1"/>
  <c r="BG25" i="1"/>
  <c r="AK13" i="1"/>
  <c r="BG46" i="1"/>
  <c r="BG6" i="1"/>
  <c r="AK26" i="1"/>
  <c r="AK12" i="1"/>
  <c r="BG36" i="1"/>
  <c r="BG31" i="1"/>
  <c r="BG26" i="1"/>
  <c r="BG3" i="1"/>
  <c r="Z33" i="1"/>
  <c r="BG39" i="1"/>
  <c r="BG34" i="1"/>
  <c r="AK31" i="1"/>
  <c r="BG52" i="1"/>
  <c r="BG47" i="1"/>
  <c r="BG7" i="1"/>
  <c r="Z27" i="1"/>
  <c r="BG12" i="1"/>
  <c r="BG41" i="1"/>
  <c r="BG24" i="1"/>
  <c r="AK37" i="1"/>
  <c r="AK30" i="1"/>
  <c r="BG37" i="1"/>
  <c r="AK28" i="1"/>
  <c r="AK32" i="1"/>
  <c r="AK5" i="1"/>
  <c r="AK17" i="1"/>
  <c r="AK10" i="1"/>
  <c r="AK6" i="1"/>
  <c r="U50" i="1"/>
  <c r="N32" i="1"/>
  <c r="O32" i="1" s="1"/>
  <c r="BP55" i="1"/>
  <c r="AT55" i="1"/>
  <c r="BQ55" i="1"/>
  <c r="BY15" i="1" l="1"/>
  <c r="CI15" i="1"/>
  <c r="BY16" i="1"/>
  <c r="CI16" i="1"/>
  <c r="BV33" i="1"/>
  <c r="CK33" i="1"/>
  <c r="BV5" i="1"/>
  <c r="CF5" i="1" s="1"/>
  <c r="CK5" i="1"/>
  <c r="BV7" i="1"/>
  <c r="CF7" i="1" s="1"/>
  <c r="CK7" i="1"/>
  <c r="BV9" i="1"/>
  <c r="CF9" i="1" s="1"/>
  <c r="CK9" i="1"/>
  <c r="BV10" i="1"/>
  <c r="CF10" i="1" s="1"/>
  <c r="CK10" i="1"/>
  <c r="BV6" i="1"/>
  <c r="CF6" i="1" s="1"/>
  <c r="CK6" i="1"/>
  <c r="CF38" i="1"/>
  <c r="CF8" i="1"/>
  <c r="Z53" i="1"/>
  <c r="CH53" i="1"/>
  <c r="CF47" i="1"/>
  <c r="BY3" i="1"/>
  <c r="CH3" i="1"/>
  <c r="CH32" i="1"/>
  <c r="Z16" i="1"/>
  <c r="CI47" i="1"/>
  <c r="CI27" i="1"/>
  <c r="CF21" i="1"/>
  <c r="CI24" i="1"/>
  <c r="CI26" i="1"/>
  <c r="CG42" i="1"/>
  <c r="CI10" i="1"/>
  <c r="CI29" i="1"/>
  <c r="CI51" i="1"/>
  <c r="CI28" i="1"/>
  <c r="CI38" i="1"/>
  <c r="CG53" i="1"/>
  <c r="CF53" i="1" s="1"/>
  <c r="CH52" i="1"/>
  <c r="CI35" i="1"/>
  <c r="CI36" i="1"/>
  <c r="CI19" i="1"/>
  <c r="CI13" i="1"/>
  <c r="CI40" i="1"/>
  <c r="CF17" i="1"/>
  <c r="CF31" i="1"/>
  <c r="CH46" i="1"/>
  <c r="Z23" i="1"/>
  <c r="CG27" i="1"/>
  <c r="CF27" i="1" s="1"/>
  <c r="CG32" i="1"/>
  <c r="CG52" i="1"/>
  <c r="CF52" i="1" s="1"/>
  <c r="CI25" i="1"/>
  <c r="CI39" i="1"/>
  <c r="CI7" i="1"/>
  <c r="CI44" i="1"/>
  <c r="CF34" i="1"/>
  <c r="CI5" i="1"/>
  <c r="CF37" i="1"/>
  <c r="CF23" i="1"/>
  <c r="CF48" i="1"/>
  <c r="CI9" i="1"/>
  <c r="CG44" i="1"/>
  <c r="CF44" i="1" s="1"/>
  <c r="CI23" i="1"/>
  <c r="CF19" i="1"/>
  <c r="CF35" i="1"/>
  <c r="CI6" i="1"/>
  <c r="BY20" i="1"/>
  <c r="CI20" i="1"/>
  <c r="CF25" i="1"/>
  <c r="AV38" i="1"/>
  <c r="CI46" i="1"/>
  <c r="CG43" i="1"/>
  <c r="CF43" i="1" s="1"/>
  <c r="CF28" i="1"/>
  <c r="CI49" i="1"/>
  <c r="CI12" i="1"/>
  <c r="CF16" i="1"/>
  <c r="CI52" i="1"/>
  <c r="CI34" i="1"/>
  <c r="CF20" i="1"/>
  <c r="CF12" i="1"/>
  <c r="CI30" i="1"/>
  <c r="CF15" i="1"/>
  <c r="CI21" i="1"/>
  <c r="CF30" i="1"/>
  <c r="CI31" i="1"/>
  <c r="CI37" i="1"/>
  <c r="CI43" i="1"/>
  <c r="CG33" i="1"/>
  <c r="CI8" i="1"/>
  <c r="CF40" i="1"/>
  <c r="CI33" i="1"/>
  <c r="CG46" i="1"/>
  <c r="CF46" i="1" s="1"/>
  <c r="CF49" i="1"/>
  <c r="CG24" i="1"/>
  <c r="CF24" i="1" s="1"/>
  <c r="CI14" i="1"/>
  <c r="Z48" i="1"/>
  <c r="CI53" i="1"/>
  <c r="CI17" i="1"/>
  <c r="CG51" i="1"/>
  <c r="CF51" i="1" s="1"/>
  <c r="Z32" i="1"/>
  <c r="Z13" i="1"/>
  <c r="CG13" i="1"/>
  <c r="CF13" i="1" s="1"/>
  <c r="Z14" i="1"/>
  <c r="CG14" i="1"/>
  <c r="CF14" i="1" s="1"/>
  <c r="Z3" i="1"/>
  <c r="Z26" i="1"/>
  <c r="CG26" i="1"/>
  <c r="CF26" i="1" s="1"/>
  <c r="Z20" i="1"/>
  <c r="Z29" i="1"/>
  <c r="CG29" i="1"/>
  <c r="Z19" i="1"/>
  <c r="Z18" i="1"/>
  <c r="Z35" i="1"/>
  <c r="BU29" i="1"/>
  <c r="BV29" i="1" s="1"/>
  <c r="L29" i="1"/>
  <c r="Z12" i="1"/>
  <c r="Z9" i="1"/>
  <c r="AK42" i="1"/>
  <c r="Z10" i="1"/>
  <c r="Z7" i="1"/>
  <c r="AU55" i="1"/>
  <c r="Z40" i="1"/>
  <c r="Z49" i="1"/>
  <c r="Z37" i="1"/>
  <c r="Z6" i="1"/>
  <c r="Z25" i="1"/>
  <c r="Z28" i="1"/>
  <c r="Z17" i="1"/>
  <c r="Z34" i="1"/>
  <c r="Z30" i="1"/>
  <c r="Z31" i="1"/>
  <c r="Z11" i="1"/>
  <c r="AK39" i="1"/>
  <c r="Z15" i="1"/>
  <c r="BX36" i="1"/>
  <c r="BW32" i="1"/>
  <c r="BX32" i="1" s="1"/>
  <c r="AK41" i="1"/>
  <c r="BV42" i="1"/>
  <c r="BV22" i="1"/>
  <c r="CF22" i="1" s="1"/>
  <c r="Z5" i="1"/>
  <c r="V50" i="1"/>
  <c r="CH50" i="1" s="1"/>
  <c r="BW50" i="1"/>
  <c r="BX50" i="1" s="1"/>
  <c r="Y50" i="1"/>
  <c r="CG50" i="1" s="1"/>
  <c r="BU50" i="1"/>
  <c r="BV50" i="1" s="1"/>
  <c r="BV32" i="1"/>
  <c r="Q32" i="1"/>
  <c r="J55" i="1"/>
  <c r="BG51" i="1"/>
  <c r="BG42" i="1"/>
  <c r="BG28" i="1"/>
  <c r="CF33" i="1" l="1"/>
  <c r="CF32" i="1"/>
  <c r="CF42" i="1"/>
  <c r="CF29" i="1"/>
  <c r="CF50" i="1"/>
  <c r="BY32" i="1"/>
  <c r="CI32" i="1"/>
  <c r="Z50" i="1"/>
  <c r="N43" i="1"/>
  <c r="BW43" i="1" s="1"/>
  <c r="O43" i="1" l="1"/>
  <c r="AM18" i="1"/>
  <c r="BX43" i="1" l="1"/>
  <c r="CH43" i="1"/>
  <c r="AF18" i="1"/>
  <c r="AG18" i="1" s="1"/>
  <c r="AJ45" i="1"/>
  <c r="BU45" i="1"/>
  <c r="BV45" i="1" s="1"/>
  <c r="AI55" i="1"/>
  <c r="BY45" i="1"/>
  <c r="AK18" i="1" l="1"/>
  <c r="AJ55" i="1"/>
  <c r="CG45" i="1"/>
  <c r="CF45" i="1" s="1"/>
  <c r="AK45" i="1"/>
  <c r="BE55" i="1" l="1"/>
  <c r="BF18" i="1"/>
  <c r="CG18" i="1" s="1"/>
  <c r="CG11" i="1"/>
  <c r="BB11" i="1"/>
  <c r="BU18" i="1"/>
  <c r="BV18" i="1" s="1"/>
  <c r="BF55" i="1" l="1"/>
  <c r="CF11" i="1"/>
  <c r="AZ18" i="1"/>
  <c r="BI18" i="1"/>
  <c r="CI18" i="1" s="1"/>
  <c r="CF18" i="1"/>
  <c r="BB18" i="1"/>
  <c r="BC11" i="1"/>
  <c r="BG11" i="1" s="1"/>
  <c r="BW11" i="1"/>
  <c r="BX11" i="1" s="1"/>
  <c r="BI11" i="1"/>
  <c r="BY18" i="1" l="1"/>
  <c r="CH11" i="1"/>
  <c r="BY11" i="1"/>
  <c r="CI11" i="1"/>
  <c r="BC18" i="1"/>
  <c r="BW18" i="1"/>
  <c r="BX18" i="1" s="1"/>
  <c r="BU36" i="1"/>
  <c r="Y36" i="1"/>
  <c r="CG36" i="1" s="1"/>
  <c r="BV36" i="1" l="1"/>
  <c r="CF36" i="1" s="1"/>
  <c r="CK36" i="1"/>
  <c r="BG18" i="1"/>
  <c r="CH18" i="1"/>
  <c r="Z36" i="1"/>
  <c r="BU39" i="1"/>
  <c r="BV39" i="1" s="1"/>
  <c r="Y39" i="1"/>
  <c r="X55" i="1"/>
  <c r="BU41" i="1"/>
  <c r="BV41" i="1" s="1"/>
  <c r="Y41" i="1"/>
  <c r="AB41" i="1"/>
  <c r="V38" i="1"/>
  <c r="BW38" i="1"/>
  <c r="BX38" i="1" s="1"/>
  <c r="Z38" i="1" l="1"/>
  <c r="CH38" i="1"/>
  <c r="BY41" i="1"/>
  <c r="BY54" i="1" s="1"/>
  <c r="CI41" i="1"/>
  <c r="Z41" i="1"/>
  <c r="CG41" i="1"/>
  <c r="CF41" i="1" s="1"/>
  <c r="Y55" i="1"/>
  <c r="Z39" i="1"/>
  <c r="CG39" i="1"/>
  <c r="CF3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tc={DB4F6D94-6B6F-4F40-BC5A-9FE62A3FDD95}</author>
    <author>tc={E27A6761-4B8B-47F1-928F-A4A598C0BA6D}</author>
    <author>tc={EF55D802-8541-4827-ADF9-BB5E0DC7CA22}</author>
    <author>tc={7F911F81-CD79-4EE8-8E28-3E4B31D7517C}</author>
    <author>tc={6E26E556-55F6-4DFD-AED7-27A0E0DE86F0}</author>
    <author>tc={0DC9F2FA-3C27-4E67-AC8B-96BAD45EB0F3}</author>
    <author>tc={C19A957D-23C4-4FD9-88D6-09B6033F0CB0}</author>
    <author>tc={0C702C1A-2262-43D7-B781-111BE434F3CF}</author>
    <author>tc={E416D217-315F-4D91-8285-A6A38F4FC93B}</author>
    <author>tc={0BE51A6C-11E6-4420-B619-A5CA6F65BDF8}</author>
  </authors>
  <commentList>
    <comment ref="AH4" authorId="0" shapeId="0" xr:uid="{DB4F6D94-6B6F-4F40-BC5A-9FE62A3FDD95}">
      <text>
        <t>[Threaded comment]
Your version of Excel allows you to read this threaded comment; however, any edits to it will get removed if the file is opened in a newer version of Excel. Learn more: https://go.microsoft.com/fwlink/?linkid=870924
Comment:
    32,28 MJ/kg</t>
      </text>
    </comment>
    <comment ref="H5" authorId="1" shapeId="0" xr:uid="{E27A6761-4B8B-47F1-928F-A4A598C0BA6D}">
      <text>
        <t>[Threaded comment]
Your version of Excel allows you to read this threaded comment; however, any edits to it will get removed if the file is opened in a newer version of Excel. Learn more: https://go.microsoft.com/fwlink/?linkid=870924
Comment:
    1540 Ton/mes</t>
      </text>
    </comment>
    <comment ref="AS6" authorId="2" shapeId="0" xr:uid="{EF55D802-8541-4827-ADF9-BB5E0DC7CA22}">
      <text>
        <t>[Threaded comment]
Your version of Excel allows you to read this threaded comment; however, any edits to it will get removed if the file is opened in a newer version of Excel. Learn more: https://go.microsoft.com/fwlink/?linkid=870924
Comment:
    128.66 MJ/USgal</t>
      </text>
    </comment>
    <comment ref="H7" authorId="3" shapeId="0" xr:uid="{7F911F81-CD79-4EE8-8E28-3E4B31D7517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es la producción crítica
Reply:
    5598 m3/mes</t>
      </text>
    </comment>
    <comment ref="T8" authorId="4" shapeId="0" xr:uid="{6E26E556-55F6-4DFD-AED7-27A0E0DE86F0}">
      <text>
        <t>[Threaded comment]
Your version of Excel allows you to read this threaded comment; however, any edits to it will get removed if the file is opened in a newer version of Excel. Learn more: https://go.microsoft.com/fwlink/?linkid=870924
Comment:
    $ 2579.418 /m3</t>
      </text>
    </comment>
    <comment ref="W8" authorId="5" shapeId="0" xr:uid="{0DC9F2FA-3C27-4E67-AC8B-96BAD45EB0F3}">
      <text>
        <t>[Threaded comment]
Your version of Excel allows you to read this threaded comment; however, any edits to it will get removed if the file is opened in a newer version of Excel. Learn more: https://go.microsoft.com/fwlink/?linkid=870924
Comment:
    43.39331 MJ/m3</t>
      </text>
    </comment>
    <comment ref="H9" authorId="6" shapeId="0" xr:uid="{C19A957D-23C4-4FD9-88D6-09B6033F0CB0}">
      <text>
        <t>[Threaded comment]
Your version of Excel allows you to read this threaded comment; however, any edits to it will get removed if the file is opened in a newer version of Excel. Learn more: https://go.microsoft.com/fwlink/?linkid=870924
Comment:
    Tomaron la producción crítica</t>
      </text>
    </comment>
    <comment ref="H10" authorId="7" shapeId="0" xr:uid="{0C702C1A-2262-43D7-B781-111BE434F3CF}">
      <text>
        <t>[Threaded comment]
Your version of Excel allows you to read this threaded comment; however, any edits to it will get removed if the file is opened in a newer version of Excel. Learn more: https://go.microsoft.com/fwlink/?linkid=870924
Comment:
    Tomaron la producción crítica</t>
      </text>
    </comment>
    <comment ref="I10" authorId="8" shapeId="0" xr:uid="{E416D217-315F-4D91-8285-A6A38F4FC93B}">
      <text>
        <t>[Threaded comment]
Your version of Excel allows you to read this threaded comment; however, any edits to it will get removed if the file is opened in a newer version of Excel. Learn more: https://go.microsoft.com/fwlink/?linkid=870924
Comment:
    es kg</t>
      </text>
    </comment>
    <comment ref="BH11" authorId="9" shapeId="0" xr:uid="{0BE51A6C-11E6-4420-B619-A5CA6F65BDF8}">
      <text>
        <t>[Threaded comment]
Your version of Excel allows you to read this threaded comment; however, any edits to it will get removed if the file is opened in a newer version of Excel. Learn more: https://go.microsoft.com/fwlink/?linkid=870924
Comment:
    Usan una biomasa que no aparece en la calculadora de la UPME
Reply:
    Quizás no se consideren emisiones biogénicas</t>
      </text>
    </comment>
  </commentList>
</comments>
</file>

<file path=xl/sharedStrings.xml><?xml version="1.0" encoding="utf-8"?>
<sst xmlns="http://schemas.openxmlformats.org/spreadsheetml/2006/main" count="638" uniqueCount="246">
  <si>
    <t>Descripción</t>
  </si>
  <si>
    <t>Energético</t>
  </si>
  <si>
    <t>Ahorro Energía [kwh/año]</t>
  </si>
  <si>
    <t>Costos evitados (MCOP/año)</t>
  </si>
  <si>
    <t>Emisiones evitadas
(Ton CO2/año)</t>
  </si>
  <si>
    <t>Inversión (COP)</t>
  </si>
  <si>
    <t>VPN
(COP)</t>
  </si>
  <si>
    <t>TIR
(%)</t>
  </si>
  <si>
    <t>Payback (meses)</t>
  </si>
  <si>
    <t>Observaciones</t>
  </si>
  <si>
    <t>OPM</t>
  </si>
  <si>
    <t>Ej: Cambio de motor en extrusora 1</t>
  </si>
  <si>
    <t>Desplegable entre las fuentes que tenemos definidas (Electricidad, Gas Natural, Carbon; etc)</t>
  </si>
  <si>
    <t>Fase</t>
  </si>
  <si>
    <t>Año</t>
  </si>
  <si>
    <t>Centro Pevi</t>
  </si>
  <si>
    <t>Nombre de Empresa</t>
  </si>
  <si>
    <t>Sector</t>
  </si>
  <si>
    <t>Profesor Líder</t>
  </si>
  <si>
    <t>Comentarios Informe Final</t>
  </si>
  <si>
    <t>Producción</t>
  </si>
  <si>
    <t>Unidades de producción</t>
  </si>
  <si>
    <t>ELECTRICIDAD</t>
  </si>
  <si>
    <t>GAS NATURAL</t>
  </si>
  <si>
    <t>CARBON MINERAL</t>
  </si>
  <si>
    <t>FUEL OIL</t>
  </si>
  <si>
    <t>BIOMASA</t>
  </si>
  <si>
    <t>Gas Propano</t>
  </si>
  <si>
    <t>TOTALES</t>
  </si>
  <si>
    <t>% AHORRO POR LÍNEA BASE</t>
  </si>
  <si>
    <t>AHORROS, COSTOS Y EMISIONES EVITADAS</t>
  </si>
  <si>
    <t>Consumo mensual (kWh/mes)</t>
  </si>
  <si>
    <t>Consumo anual (kWh/año)</t>
  </si>
  <si>
    <t>IC</t>
  </si>
  <si>
    <t>Costo unitario (COP/kWh)</t>
  </si>
  <si>
    <t>Costo mensual (COPelec/mes)</t>
  </si>
  <si>
    <t>Costo anual (COPelec/año)</t>
  </si>
  <si>
    <t>FE.elec
(kgCO2/kWh)</t>
  </si>
  <si>
    <t>Emis.Elect (tonCO2/año)</t>
  </si>
  <si>
    <t>Consumo mensual (m3GN/mes)</t>
  </si>
  <si>
    <t>Consumo anual (m3GN/año)</t>
  </si>
  <si>
    <t>Costo unitario (COP/m3GN)</t>
  </si>
  <si>
    <t>Costo mensual (COP.GN/mes)</t>
  </si>
  <si>
    <t>Costo anual (COP.GN/año)</t>
  </si>
  <si>
    <t>PCI.GN (kJ/m3)</t>
  </si>
  <si>
    <t>Consumo mensual (kWh.GN/mes)</t>
  </si>
  <si>
    <t>Consumo anual (kWh.GN/año)</t>
  </si>
  <si>
    <t>$COP/kWh.GN</t>
  </si>
  <si>
    <t>FE.GN (kgCO2/m3GN)</t>
  </si>
  <si>
    <t>Emis.GN (tonCO2/año)</t>
  </si>
  <si>
    <t>Consumo mensual (Ton/mes)</t>
  </si>
  <si>
    <t>Consumo anual (Ton/año)</t>
  </si>
  <si>
    <t>Costo unitario (COP/Ton)</t>
  </si>
  <si>
    <t>Costo mensual (COP/mes)</t>
  </si>
  <si>
    <t>Costo anual (COP/año)</t>
  </si>
  <si>
    <t>PC.CM (MJ/kg)</t>
  </si>
  <si>
    <t>Consumo mensual (kWh.CM/mes)</t>
  </si>
  <si>
    <t>Consumo anual (kWh.CM/año)</t>
  </si>
  <si>
    <t>$COP/kWh.CM</t>
  </si>
  <si>
    <t>FE.CM (kgCO2/Ton CM)</t>
  </si>
  <si>
    <t>Emis.CM (tonCO2/año)</t>
  </si>
  <si>
    <t>Consumo mensual (usGalFO/mes)</t>
  </si>
  <si>
    <t>Consumo anual (GalFO/año)</t>
  </si>
  <si>
    <t>Costo unitario (COP/GalFO)</t>
  </si>
  <si>
    <t>Costo mensual (COP.FO/mes)</t>
  </si>
  <si>
    <t>Costo anual (COP.FO/año)</t>
  </si>
  <si>
    <t>PC.FO (MJ/usgal)</t>
  </si>
  <si>
    <t>Consumo mensual (kWh.FO/mes)</t>
  </si>
  <si>
    <t>Consumo anual (kWh.FO/año)</t>
  </si>
  <si>
    <t>$COP/kWh.FO</t>
  </si>
  <si>
    <t>FE.FO (kgCO2/gal)</t>
  </si>
  <si>
    <t>Emis.FO (tonCO2/año)</t>
  </si>
  <si>
    <t>Costo unitario (COP/kg)</t>
  </si>
  <si>
    <t>PC.BIOMASA (kJ/kg)</t>
  </si>
  <si>
    <t>$COP/kWh</t>
  </si>
  <si>
    <t>FE.BM (kgCO2/Ton)</t>
  </si>
  <si>
    <t>Emis.BIOMASA (tonCO2/año)</t>
  </si>
  <si>
    <t>Consumo mensual (kgGLP/mes)</t>
  </si>
  <si>
    <t>Consumo anual (kgGLP/año)</t>
  </si>
  <si>
    <t>Costo unitario (COP/kgGLP)</t>
  </si>
  <si>
    <t>Costo mensual (COP.GLP/mes)</t>
  </si>
  <si>
    <t>Costo anual (COP.GLP/año)</t>
  </si>
  <si>
    <t>PC.GLP (MJ/kg)</t>
  </si>
  <si>
    <t>Consumo mensual (kWh.GLP/mes)</t>
  </si>
  <si>
    <t>Consumo anual (kWh.GLP/año)</t>
  </si>
  <si>
    <t>$COP/kWh.GLP</t>
  </si>
  <si>
    <t>FE.GLP (kgCO2/kg)</t>
  </si>
  <si>
    <t>Emis.GLP (tonCO2/año)</t>
  </si>
  <si>
    <t>Consumo total mensual de la empresa (kWh/mes)</t>
  </si>
  <si>
    <t>Consumo Total anual de energía (kWh/año)</t>
  </si>
  <si>
    <t>Emisiones Totales (ton CO2/año</t>
  </si>
  <si>
    <t>% Ahorro Elecricidad</t>
  </si>
  <si>
    <t>%Ahorro  Gas Natural</t>
  </si>
  <si>
    <t>%Ahorro Carbón</t>
  </si>
  <si>
    <t>% Ahorro Fuel Oil</t>
  </si>
  <si>
    <t>% Ahorro Biomasa</t>
  </si>
  <si>
    <t>% Ahorro Gas Propano</t>
  </si>
  <si>
    <t>% Ahorro Total Energía</t>
  </si>
  <si>
    <t>kWh evitada/Año</t>
  </si>
  <si>
    <t>Costos evitados/año</t>
  </si>
  <si>
    <t>CO2 evitadas/año</t>
  </si>
  <si>
    <t>UNAB</t>
  </si>
  <si>
    <t>Salsan</t>
  </si>
  <si>
    <t>Alimentos</t>
  </si>
  <si>
    <t>Mario Acero</t>
  </si>
  <si>
    <t>kg carne procesada</t>
  </si>
  <si>
    <t>-</t>
  </si>
  <si>
    <t>Ladrillera versalles</t>
  </si>
  <si>
    <t>Construcción</t>
  </si>
  <si>
    <t>Carlos Díaz</t>
  </si>
  <si>
    <t>Completo</t>
  </si>
  <si>
    <t>Ton de arcilla cocida</t>
  </si>
  <si>
    <t>Coopasan</t>
  </si>
  <si>
    <t>Alimentos y bebidas</t>
  </si>
  <si>
    <t>Ton de producción de harinas panificables y de subproductos</t>
  </si>
  <si>
    <t>Humberto Quintero</t>
  </si>
  <si>
    <t>Petroquímico</t>
  </si>
  <si>
    <t>Ton de asfalto al mes</t>
  </si>
  <si>
    <t>Prevesa</t>
  </si>
  <si>
    <t>m3 de concreto</t>
  </si>
  <si>
    <t>Multinsa</t>
  </si>
  <si>
    <t>Luis Jaimes</t>
  </si>
  <si>
    <t>Ton de asfalto</t>
  </si>
  <si>
    <t>Vanguardia</t>
  </si>
  <si>
    <t>Comunicación (Industria gráfica y de impresión)</t>
  </si>
  <si>
    <t>Páginas universales</t>
  </si>
  <si>
    <t>Rambal</t>
  </si>
  <si>
    <t>Plásticos y textil</t>
  </si>
  <si>
    <t>Leonardo Pacheco</t>
  </si>
  <si>
    <t>kg de fruto recibida</t>
  </si>
  <si>
    <t>Extractora Central</t>
  </si>
  <si>
    <t>Sector aceites y grasas</t>
  </si>
  <si>
    <t>Ton de fruto recibida (tuza)</t>
  </si>
  <si>
    <t>Tesicol</t>
  </si>
  <si>
    <t>Yecid Muñoz</t>
  </si>
  <si>
    <t>Ton equivalentes de producción</t>
  </si>
  <si>
    <t>Pladesan</t>
  </si>
  <si>
    <t>Producción equivalente referida</t>
  </si>
  <si>
    <t>UAO</t>
  </si>
  <si>
    <t>Eka Zipper</t>
  </si>
  <si>
    <t>kg de producción por mes</t>
  </si>
  <si>
    <t>Alumina</t>
  </si>
  <si>
    <t>Félix González Pérez</t>
  </si>
  <si>
    <t>Tonelada de producción mensual</t>
  </si>
  <si>
    <t>Provider SAS</t>
  </si>
  <si>
    <t>Mobiliario</t>
  </si>
  <si>
    <t>Unidad de producto</t>
  </si>
  <si>
    <t>Fanalca</t>
  </si>
  <si>
    <t>Manufactura industrial</t>
  </si>
  <si>
    <t>Toneladas de tubería metálica</t>
  </si>
  <si>
    <t>Trapiche Victoria</t>
  </si>
  <si>
    <t>Toneladas de caña molida</t>
  </si>
  <si>
    <t>Pan Valle SA</t>
  </si>
  <si>
    <t xml:space="preserve">Bultos de harina </t>
  </si>
  <si>
    <t>Baxter</t>
  </si>
  <si>
    <t>Bolsas producidas</t>
  </si>
  <si>
    <t>Reckitt</t>
  </si>
  <si>
    <t>Farmaceutica</t>
  </si>
  <si>
    <t>Kilogramos de producto</t>
  </si>
  <si>
    <t>Molinos Santa Marta</t>
  </si>
  <si>
    <t>Rosaura Castrillón</t>
  </si>
  <si>
    <t>Tonelada de harina mensual</t>
  </si>
  <si>
    <t>Kimberly Clark</t>
  </si>
  <si>
    <t>Papel</t>
  </si>
  <si>
    <t>Tonelada de papel al mes</t>
  </si>
  <si>
    <t>UNIATLANTICO</t>
  </si>
  <si>
    <t>Procaps</t>
  </si>
  <si>
    <t>Juan Carlos Campos</t>
  </si>
  <si>
    <t>Falta de claridad: Faltan datos de costos, mediciones, OPM, análisis de brechas</t>
  </si>
  <si>
    <t>Kilogramos de gelatina en polvo procesada por mes</t>
  </si>
  <si>
    <t>Carton Colombia -Smurfi Kappa</t>
  </si>
  <si>
    <t>Faltan datos de costos, esmisiones, USEn, mediciones, OPM, % de ahorro, análisis de brechas</t>
  </si>
  <si>
    <t>unidades de producción equivalente (mm2 /mes)</t>
  </si>
  <si>
    <t>Coolechera</t>
  </si>
  <si>
    <t>Guillermo Valencia Ochoa</t>
  </si>
  <si>
    <t>Faltan mediciones, OPM, análisis de brechas</t>
  </si>
  <si>
    <t>Litro de producto elaborada al mes</t>
  </si>
  <si>
    <t>Empaques Transparentes</t>
  </si>
  <si>
    <t>Lourdes Meriño Stand</t>
  </si>
  <si>
    <t>Faltan mediciones, OPM, análisis de brechas.</t>
  </si>
  <si>
    <t>kg de producto</t>
  </si>
  <si>
    <t>Syngenta</t>
  </si>
  <si>
    <t>Farmaceutica (Químicos para la agricultura)</t>
  </si>
  <si>
    <t>Marley Vanegas</t>
  </si>
  <si>
    <t>Solo cuenta con gráficos sin dar información al respecto; confuso e incompleto</t>
  </si>
  <si>
    <t>Pastas Comarrico</t>
  </si>
  <si>
    <t>Paola Barros</t>
  </si>
  <si>
    <t>Faltan USEn, mediciones, OPM, análisis de brechas</t>
  </si>
  <si>
    <t>Toneladas de producto</t>
  </si>
  <si>
    <t>Laboratorios Incobra</t>
  </si>
  <si>
    <t xml:space="preserve">Jorge Eliecer Duarte </t>
  </si>
  <si>
    <t>Faltan datos de producción, mediciones, OPM, % de ahorro, análisis de brechas</t>
  </si>
  <si>
    <t>Producción equivalente (F.sólidos)</t>
  </si>
  <si>
    <t>Granos y Cereales Colombia</t>
  </si>
  <si>
    <t>Faltan datos de costos, consumo de biomasa, mediciones, OPM, % de ahorro ?, análisis de brechas</t>
  </si>
  <si>
    <t>Toneladas de producción</t>
  </si>
  <si>
    <t>Bolten</t>
  </si>
  <si>
    <t>Información desordenada e incompleta; faltan datos de costos, USEn, mediciones, OPM, análisis de brechas</t>
  </si>
  <si>
    <t>kg de producción al mes</t>
  </si>
  <si>
    <t>Clínica Chicamocha</t>
  </si>
  <si>
    <t>Servicios</t>
  </si>
  <si>
    <t>Pacientes atendidos al mes; Camas ocupadas en UCI al mes; Partos al mes</t>
  </si>
  <si>
    <t>Coopecafenor</t>
  </si>
  <si>
    <t>César Acevedo</t>
  </si>
  <si>
    <t>Saco de café de trillados</t>
  </si>
  <si>
    <t>Extractora Monterrey</t>
  </si>
  <si>
    <t>Tonelada de fruto procesado</t>
  </si>
  <si>
    <t>Hipinto</t>
  </si>
  <si>
    <t>Litros de producción equivalente al mes</t>
  </si>
  <si>
    <t>INAL</t>
  </si>
  <si>
    <t>Kg de material removido</t>
  </si>
  <si>
    <t>Italcol</t>
  </si>
  <si>
    <t>Ton de producción equivalente Paletizado - harinas</t>
  </si>
  <si>
    <t>Postobon</t>
  </si>
  <si>
    <t>Cajas equivalentes al mes</t>
  </si>
  <si>
    <t>Somex</t>
  </si>
  <si>
    <t>Agropecuario</t>
  </si>
  <si>
    <t>Quintal</t>
  </si>
  <si>
    <t>Tonelada de producto fabricado al mes</t>
  </si>
  <si>
    <t>Windsor</t>
  </si>
  <si>
    <t>Habitaciones ocupadas</t>
  </si>
  <si>
    <t>Clínica Portoazul</t>
  </si>
  <si>
    <t>Días de ocupación de estancia real (OER)</t>
  </si>
  <si>
    <t>Cannon</t>
  </si>
  <si>
    <t>Textil</t>
  </si>
  <si>
    <t>kg de producción telares</t>
  </si>
  <si>
    <t>Unibol</t>
  </si>
  <si>
    <t>Gracetales</t>
  </si>
  <si>
    <t>Toneladas de aceite de soya al mes</t>
  </si>
  <si>
    <t>Uniphos - UCPL</t>
  </si>
  <si>
    <t>kg de producción al día</t>
  </si>
  <si>
    <t>Celco SA</t>
  </si>
  <si>
    <t>Metalmecánica</t>
  </si>
  <si>
    <t>Producción por complejidad de barraje eléctrico o ensamblaje</t>
  </si>
  <si>
    <t>Conalbroces</t>
  </si>
  <si>
    <t>Ton de metal fundido</t>
  </si>
  <si>
    <t>Despensa</t>
  </si>
  <si>
    <t>Unidades producidas de pan(cantidad de mojes)</t>
  </si>
  <si>
    <t>B-Altman &amp; CIA</t>
  </si>
  <si>
    <t>Jairo Palacios</t>
  </si>
  <si>
    <t>Tonelada procesada</t>
  </si>
  <si>
    <t>Colfactory</t>
  </si>
  <si>
    <t>Unidad de prenda procesada</t>
  </si>
  <si>
    <t>Cerería Sagrado Corazón</t>
  </si>
  <si>
    <t>Ton de materia prima</t>
  </si>
  <si>
    <t>Sumatoria Consumo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</si>
</sst>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  <numFmt numFmtId="166" formatCode="#,##0.0"/>
    <numFmt numFmtId="167" formatCode="#,##0.000"/>
    <numFmt numFmtId="168" formatCode="#,##0.0000"/>
    <numFmt numFmtId="169" formatCode="_-&quot;$&quot;\ * #,##0.0_-;\-&quot;$&quot;\ * #,##0.0_-;_-&quot;$&quot;\ * &quot;-&quot;??_-;_-@_-"/>
    <numFmt numFmtId="170" formatCode="0.0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BCEE"/>
        <bgColor indexed="64"/>
      </patternFill>
    </fill>
    <fill>
      <patternFill patternType="solid">
        <fgColor rgb="FFEDE5D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DFC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9CAF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CB7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0">
    <xf numFmtId="0" fontId="0" fillId="0" borderId="0" xfId="0"/>
    <xf numFmtId="3" fontId="0" fillId="2" borderId="1" xfId="0" applyNumberFormat="1" applyFill="1" applyBorder="1" applyAlignment="1">
      <alignment horizontal="center" vertical="center"/>
    </xf>
    <xf numFmtId="165" fontId="0" fillId="2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center" vertical="center"/>
    </xf>
    <xf numFmtId="165" fontId="0" fillId="4" borderId="2" xfId="1" applyNumberFormat="1" applyFont="1" applyFill="1" applyBorder="1" applyAlignment="1">
      <alignment horizontal="center" vertical="center"/>
    </xf>
    <xf numFmtId="165" fontId="0" fillId="4" borderId="1" xfId="1" applyNumberFormat="1" applyFont="1" applyFill="1" applyBorder="1" applyAlignment="1">
      <alignment horizontal="center" vertical="center"/>
    </xf>
    <xf numFmtId="3" fontId="0" fillId="4" borderId="1" xfId="1" applyNumberFormat="1" applyFon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0" fillId="5" borderId="1" xfId="1" applyNumberFormat="1" applyFont="1" applyFill="1" applyBorder="1" applyAlignment="1">
      <alignment horizontal="center" vertical="center"/>
    </xf>
    <xf numFmtId="3" fontId="0" fillId="5" borderId="1" xfId="1" applyNumberFormat="1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6" borderId="0" xfId="0" applyFill="1"/>
    <xf numFmtId="3" fontId="0" fillId="6" borderId="0" xfId="0" applyNumberFormat="1" applyFill="1"/>
    <xf numFmtId="167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8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65" fontId="0" fillId="7" borderId="2" xfId="1" applyNumberFormat="1" applyFont="1" applyFill="1" applyBorder="1" applyAlignment="1">
      <alignment horizontal="center" vertical="center"/>
    </xf>
    <xf numFmtId="165" fontId="0" fillId="7" borderId="1" xfId="1" applyNumberFormat="1" applyFont="1" applyFill="1" applyBorder="1" applyAlignment="1">
      <alignment horizontal="center" vertical="center"/>
    </xf>
    <xf numFmtId="3" fontId="0" fillId="7" borderId="1" xfId="1" applyNumberFormat="1" applyFont="1" applyFill="1" applyBorder="1" applyAlignment="1">
      <alignment horizontal="center" vertical="center"/>
    </xf>
    <xf numFmtId="4" fontId="0" fillId="7" borderId="1" xfId="1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/>
    </xf>
    <xf numFmtId="165" fontId="0" fillId="8" borderId="2" xfId="1" applyNumberFormat="1" applyFont="1" applyFill="1" applyBorder="1" applyAlignment="1">
      <alignment horizontal="center" vertical="center"/>
    </xf>
    <xf numFmtId="165" fontId="0" fillId="8" borderId="1" xfId="1" applyNumberFormat="1" applyFont="1" applyFill="1" applyBorder="1" applyAlignment="1">
      <alignment horizontal="center" vertical="center"/>
    </xf>
    <xf numFmtId="3" fontId="0" fillId="8" borderId="1" xfId="1" applyNumberFormat="1" applyFont="1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/>
    </xf>
    <xf numFmtId="165" fontId="0" fillId="9" borderId="2" xfId="1" applyNumberFormat="1" applyFont="1" applyFill="1" applyBorder="1" applyAlignment="1">
      <alignment horizontal="center" vertical="center"/>
    </xf>
    <xf numFmtId="165" fontId="0" fillId="9" borderId="1" xfId="1" applyNumberFormat="1" applyFont="1" applyFill="1" applyBorder="1" applyAlignment="1">
      <alignment horizontal="center" vertical="center"/>
    </xf>
    <xf numFmtId="3" fontId="0" fillId="9" borderId="1" xfId="1" applyNumberFormat="1" applyFont="1" applyFill="1" applyBorder="1" applyAlignment="1">
      <alignment horizontal="center" vertical="center"/>
    </xf>
    <xf numFmtId="167" fontId="0" fillId="9" borderId="1" xfId="0" applyNumberFormat="1" applyFill="1" applyBorder="1" applyAlignment="1">
      <alignment horizontal="center" vertical="center"/>
    </xf>
    <xf numFmtId="166" fontId="0" fillId="9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69" fontId="0" fillId="8" borderId="1" xfId="0" applyNumberForma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10" borderId="1" xfId="0" applyFont="1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/>
    </xf>
    <xf numFmtId="165" fontId="0" fillId="10" borderId="1" xfId="1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" fontId="0" fillId="8" borderId="1" xfId="0" applyNumberFormat="1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167" fontId="0" fillId="11" borderId="1" xfId="0" applyNumberForma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165" fontId="0" fillId="3" borderId="2" xfId="1" applyNumberFormat="1" applyFont="1" applyFill="1" applyBorder="1" applyAlignment="1">
      <alignment horizontal="center" vertical="center"/>
    </xf>
    <xf numFmtId="165" fontId="0" fillId="3" borderId="1" xfId="1" applyNumberFormat="1" applyFont="1" applyFill="1" applyBorder="1" applyAlignment="1">
      <alignment horizontal="center" vertical="center"/>
    </xf>
    <xf numFmtId="3" fontId="0" fillId="3" borderId="1" xfId="1" applyNumberFormat="1" applyFont="1" applyFill="1" applyBorder="1" applyAlignment="1">
      <alignment horizontal="center" vertical="center"/>
    </xf>
    <xf numFmtId="10" fontId="0" fillId="12" borderId="1" xfId="2" applyNumberFormat="1" applyFont="1" applyFill="1" applyBorder="1" applyAlignment="1">
      <alignment horizontal="center" vertical="center"/>
    </xf>
    <xf numFmtId="10" fontId="0" fillId="3" borderId="1" xfId="2" applyNumberFormat="1" applyFont="1" applyFill="1" applyBorder="1" applyAlignment="1">
      <alignment horizontal="center" vertical="center"/>
    </xf>
    <xf numFmtId="169" fontId="0" fillId="3" borderId="1" xfId="1" applyNumberFormat="1" applyFont="1" applyFill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10" fontId="0" fillId="13" borderId="1" xfId="2" applyNumberFormat="1" applyFont="1" applyFill="1" applyBorder="1" applyAlignment="1">
      <alignment horizontal="center" vertical="center"/>
    </xf>
    <xf numFmtId="3" fontId="0" fillId="13" borderId="1" xfId="0" applyNumberFormat="1" applyFill="1" applyBorder="1" applyAlignment="1">
      <alignment horizontal="center"/>
    </xf>
    <xf numFmtId="165" fontId="0" fillId="13" borderId="1" xfId="1" applyNumberFormat="1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 vertical="center" wrapText="1"/>
    </xf>
    <xf numFmtId="10" fontId="0" fillId="12" borderId="8" xfId="2" applyNumberFormat="1" applyFont="1" applyFill="1" applyBorder="1" applyAlignment="1">
      <alignment horizontal="center" vertical="center"/>
    </xf>
    <xf numFmtId="10" fontId="0" fillId="3" borderId="8" xfId="2" applyNumberFormat="1" applyFon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 wrapText="1"/>
    </xf>
    <xf numFmtId="166" fontId="0" fillId="4" borderId="1" xfId="1" applyNumberFormat="1" applyFont="1" applyFill="1" applyBorder="1" applyAlignment="1">
      <alignment horizontal="center" vertical="center"/>
    </xf>
    <xf numFmtId="3" fontId="0" fillId="10" borderId="5" xfId="0" applyNumberFormat="1" applyFill="1" applyBorder="1" applyAlignment="1">
      <alignment horizontal="center"/>
    </xf>
    <xf numFmtId="3" fontId="0" fillId="13" borderId="1" xfId="0" applyNumberFormat="1" applyFill="1" applyBorder="1" applyAlignment="1">
      <alignment horizontal="center" vertical="center"/>
    </xf>
    <xf numFmtId="165" fontId="0" fillId="0" borderId="0" xfId="0" applyNumberFormat="1"/>
    <xf numFmtId="164" fontId="0" fillId="2" borderId="1" xfId="0" applyNumberFormat="1" applyFill="1" applyBorder="1" applyAlignment="1">
      <alignment horizontal="center" vertical="center"/>
    </xf>
    <xf numFmtId="168" fontId="0" fillId="0" borderId="0" xfId="0" applyNumberFormat="1"/>
    <xf numFmtId="165" fontId="0" fillId="11" borderId="1" xfId="0" applyNumberFormat="1" applyFill="1" applyBorder="1" applyAlignment="1">
      <alignment horizontal="center" vertical="center"/>
    </xf>
    <xf numFmtId="165" fontId="0" fillId="11" borderId="2" xfId="1" applyNumberFormat="1" applyFont="1" applyFill="1" applyBorder="1" applyAlignment="1">
      <alignment horizontal="center" vertical="center"/>
    </xf>
    <xf numFmtId="3" fontId="0" fillId="11" borderId="1" xfId="1" applyNumberFormat="1" applyFont="1" applyFill="1" applyBorder="1" applyAlignment="1">
      <alignment horizontal="center" vertical="center"/>
    </xf>
    <xf numFmtId="10" fontId="0" fillId="11" borderId="1" xfId="2" applyNumberFormat="1" applyFont="1" applyFill="1" applyBorder="1" applyAlignment="1">
      <alignment horizontal="center" vertical="center"/>
    </xf>
    <xf numFmtId="4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2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68" fontId="0" fillId="2" borderId="3" xfId="0" applyNumberFormat="1" applyFill="1" applyBorder="1" applyAlignment="1">
      <alignment horizontal="center" vertical="center"/>
    </xf>
    <xf numFmtId="165" fontId="0" fillId="11" borderId="3" xfId="0" applyNumberFormat="1" applyFill="1" applyBorder="1" applyAlignment="1">
      <alignment horizontal="center" vertical="center"/>
    </xf>
    <xf numFmtId="165" fontId="0" fillId="3" borderId="3" xfId="1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3" fontId="0" fillId="8" borderId="3" xfId="0" applyNumberFormat="1" applyFill="1" applyBorder="1" applyAlignment="1">
      <alignment horizontal="center" vertical="center"/>
    </xf>
    <xf numFmtId="3" fontId="0" fillId="11" borderId="3" xfId="1" applyNumberFormat="1" applyFont="1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4" fontId="0" fillId="11" borderId="3" xfId="0" applyNumberFormat="1" applyFill="1" applyBorder="1" applyAlignment="1">
      <alignment horizontal="center" vertical="center"/>
    </xf>
    <xf numFmtId="3" fontId="0" fillId="7" borderId="3" xfId="0" applyNumberFormat="1" applyFill="1" applyBorder="1" applyAlignment="1">
      <alignment horizontal="center" vertical="center"/>
    </xf>
    <xf numFmtId="165" fontId="0" fillId="7" borderId="9" xfId="1" applyNumberFormat="1" applyFont="1" applyFill="1" applyBorder="1" applyAlignment="1">
      <alignment horizontal="center" vertical="center"/>
    </xf>
    <xf numFmtId="165" fontId="0" fillId="7" borderId="3" xfId="1" applyNumberFormat="1" applyFont="1" applyFill="1" applyBorder="1" applyAlignment="1">
      <alignment horizontal="center" vertical="center"/>
    </xf>
    <xf numFmtId="3" fontId="0" fillId="7" borderId="3" xfId="1" applyNumberFormat="1" applyFont="1" applyFill="1" applyBorder="1" applyAlignment="1">
      <alignment horizontal="center" vertical="center"/>
    </xf>
    <xf numFmtId="3" fontId="0" fillId="9" borderId="3" xfId="0" applyNumberFormat="1" applyFill="1" applyBorder="1" applyAlignment="1">
      <alignment horizontal="center" vertical="center"/>
    </xf>
    <xf numFmtId="165" fontId="0" fillId="9" borderId="9" xfId="1" applyNumberFormat="1" applyFont="1" applyFill="1" applyBorder="1" applyAlignment="1">
      <alignment horizontal="center" vertical="center"/>
    </xf>
    <xf numFmtId="165" fontId="0" fillId="9" borderId="3" xfId="1" applyNumberFormat="1" applyFont="1" applyFill="1" applyBorder="1" applyAlignment="1">
      <alignment horizontal="center" vertical="center"/>
    </xf>
    <xf numFmtId="3" fontId="0" fillId="9" borderId="3" xfId="1" applyNumberFormat="1" applyFont="1" applyFill="1" applyBorder="1" applyAlignment="1">
      <alignment horizontal="center" vertical="center"/>
    </xf>
    <xf numFmtId="167" fontId="0" fillId="9" borderId="3" xfId="0" applyNumberFormat="1" applyFill="1" applyBorder="1" applyAlignment="1">
      <alignment horizontal="center" vertical="center"/>
    </xf>
    <xf numFmtId="166" fontId="0" fillId="9" borderId="3" xfId="0" applyNumberFormat="1" applyFill="1" applyBorder="1" applyAlignment="1">
      <alignment horizontal="center" vertical="center"/>
    </xf>
    <xf numFmtId="3" fontId="0" fillId="4" borderId="3" xfId="0" applyNumberFormat="1" applyFill="1" applyBorder="1" applyAlignment="1">
      <alignment horizontal="center" vertical="center"/>
    </xf>
    <xf numFmtId="165" fontId="0" fillId="4" borderId="9" xfId="1" applyNumberFormat="1" applyFont="1" applyFill="1" applyBorder="1" applyAlignment="1">
      <alignment horizontal="center" vertical="center"/>
    </xf>
    <xf numFmtId="165" fontId="0" fillId="4" borderId="3" xfId="1" applyNumberFormat="1" applyFont="1" applyFill="1" applyBorder="1" applyAlignment="1">
      <alignment horizontal="center" vertical="center"/>
    </xf>
    <xf numFmtId="3" fontId="0" fillId="4" borderId="3" xfId="1" applyNumberFormat="1" applyFont="1" applyFill="1" applyBorder="1" applyAlignment="1">
      <alignment horizontal="center" vertical="center"/>
    </xf>
    <xf numFmtId="167" fontId="0" fillId="4" borderId="3" xfId="0" applyNumberFormat="1" applyFill="1" applyBorder="1" applyAlignment="1">
      <alignment horizontal="center" vertical="center"/>
    </xf>
    <xf numFmtId="3" fontId="0" fillId="5" borderId="3" xfId="0" applyNumberFormat="1" applyFill="1" applyBorder="1" applyAlignment="1">
      <alignment horizontal="center" vertical="center"/>
    </xf>
    <xf numFmtId="165" fontId="0" fillId="5" borderId="9" xfId="1" applyNumberFormat="1" applyFont="1" applyFill="1" applyBorder="1" applyAlignment="1">
      <alignment horizontal="center" vertical="center"/>
    </xf>
    <xf numFmtId="165" fontId="0" fillId="5" borderId="3" xfId="1" applyNumberFormat="1" applyFont="1" applyFill="1" applyBorder="1" applyAlignment="1">
      <alignment horizontal="center" vertical="center"/>
    </xf>
    <xf numFmtId="3" fontId="0" fillId="5" borderId="3" xfId="1" applyNumberFormat="1" applyFont="1" applyFill="1" applyBorder="1" applyAlignment="1">
      <alignment horizontal="center" vertical="center"/>
    </xf>
    <xf numFmtId="167" fontId="0" fillId="5" borderId="3" xfId="0" applyNumberFormat="1" applyFill="1" applyBorder="1" applyAlignment="1">
      <alignment horizontal="center" vertical="center"/>
    </xf>
    <xf numFmtId="3" fontId="0" fillId="10" borderId="3" xfId="0" applyNumberFormat="1" applyFill="1" applyBorder="1" applyAlignment="1">
      <alignment horizontal="center"/>
    </xf>
    <xf numFmtId="165" fontId="0" fillId="10" borderId="3" xfId="1" applyNumberFormat="1" applyFont="1" applyFill="1" applyBorder="1" applyAlignment="1">
      <alignment horizontal="center" vertical="center"/>
    </xf>
    <xf numFmtId="10" fontId="0" fillId="12" borderId="3" xfId="2" applyNumberFormat="1" applyFont="1" applyFill="1" applyBorder="1" applyAlignment="1">
      <alignment horizontal="center" vertical="center"/>
    </xf>
    <xf numFmtId="10" fontId="0" fillId="12" borderId="10" xfId="2" applyNumberFormat="1" applyFont="1" applyFill="1" applyBorder="1" applyAlignment="1">
      <alignment horizontal="center" vertical="center"/>
    </xf>
    <xf numFmtId="10" fontId="0" fillId="13" borderId="3" xfId="2" applyNumberFormat="1" applyFont="1" applyFill="1" applyBorder="1" applyAlignment="1">
      <alignment horizontal="center" vertical="center"/>
    </xf>
    <xf numFmtId="3" fontId="0" fillId="13" borderId="3" xfId="0" applyNumberFormat="1" applyFill="1" applyBorder="1" applyAlignment="1">
      <alignment horizontal="center"/>
    </xf>
    <xf numFmtId="165" fontId="0" fillId="13" borderId="3" xfId="1" applyNumberFormat="1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3" fontId="0" fillId="2" borderId="4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68" fontId="0" fillId="2" borderId="4" xfId="0" applyNumberFormat="1" applyFill="1" applyBorder="1" applyAlignment="1">
      <alignment horizontal="center" vertical="center"/>
    </xf>
    <xf numFmtId="165" fontId="0" fillId="2" borderId="4" xfId="0" applyNumberFormat="1" applyFill="1" applyBorder="1" applyAlignment="1">
      <alignment horizontal="center" vertical="center"/>
    </xf>
    <xf numFmtId="165" fontId="0" fillId="2" borderId="4" xfId="1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65" fontId="0" fillId="3" borderId="11" xfId="1" applyNumberFormat="1" applyFont="1" applyFill="1" applyBorder="1" applyAlignment="1">
      <alignment horizontal="center" vertical="center"/>
    </xf>
    <xf numFmtId="165" fontId="0" fillId="8" borderId="4" xfId="1" applyNumberFormat="1" applyFont="1" applyFill="1" applyBorder="1" applyAlignment="1">
      <alignment horizontal="center" vertical="center"/>
    </xf>
    <xf numFmtId="3" fontId="0" fillId="8" borderId="4" xfId="1" applyNumberFormat="1" applyFont="1" applyFill="1" applyBorder="1" applyAlignment="1">
      <alignment horizontal="center" vertical="center"/>
    </xf>
    <xf numFmtId="3" fontId="0" fillId="8" borderId="4" xfId="0" applyNumberFormat="1" applyFill="1" applyBorder="1" applyAlignment="1">
      <alignment horizontal="center" vertical="center"/>
    </xf>
    <xf numFmtId="4" fontId="0" fillId="8" borderId="4" xfId="0" applyNumberFormat="1" applyFill="1" applyBorder="1" applyAlignment="1">
      <alignment horizontal="center" vertical="center"/>
    </xf>
    <xf numFmtId="3" fontId="0" fillId="7" borderId="4" xfId="0" applyNumberFormat="1" applyFill="1" applyBorder="1" applyAlignment="1">
      <alignment horizontal="center" vertical="center"/>
    </xf>
    <xf numFmtId="165" fontId="0" fillId="7" borderId="11" xfId="1" applyNumberFormat="1" applyFont="1" applyFill="1" applyBorder="1" applyAlignment="1">
      <alignment horizontal="center" vertical="center"/>
    </xf>
    <xf numFmtId="165" fontId="0" fillId="7" borderId="4" xfId="1" applyNumberFormat="1" applyFont="1" applyFill="1" applyBorder="1" applyAlignment="1">
      <alignment horizontal="center" vertical="center"/>
    </xf>
    <xf numFmtId="3" fontId="0" fillId="7" borderId="4" xfId="1" applyNumberFormat="1" applyFont="1" applyFill="1" applyBorder="1" applyAlignment="1">
      <alignment horizontal="center" vertical="center"/>
    </xf>
    <xf numFmtId="3" fontId="0" fillId="9" borderId="4" xfId="0" applyNumberFormat="1" applyFill="1" applyBorder="1" applyAlignment="1">
      <alignment horizontal="center" vertical="center"/>
    </xf>
    <xf numFmtId="165" fontId="0" fillId="9" borderId="11" xfId="1" applyNumberFormat="1" applyFont="1" applyFill="1" applyBorder="1" applyAlignment="1">
      <alignment horizontal="center" vertical="center"/>
    </xf>
    <xf numFmtId="165" fontId="0" fillId="9" borderId="4" xfId="1" applyNumberFormat="1" applyFont="1" applyFill="1" applyBorder="1" applyAlignment="1">
      <alignment horizontal="center" vertical="center"/>
    </xf>
    <xf numFmtId="3" fontId="0" fillId="9" borderId="4" xfId="1" applyNumberFormat="1" applyFont="1" applyFill="1" applyBorder="1" applyAlignment="1">
      <alignment horizontal="center" vertical="center"/>
    </xf>
    <xf numFmtId="167" fontId="0" fillId="9" borderId="4" xfId="0" applyNumberFormat="1" applyFill="1" applyBorder="1" applyAlignment="1">
      <alignment horizontal="center" vertical="center"/>
    </xf>
    <xf numFmtId="166" fontId="0" fillId="9" borderId="4" xfId="0" applyNumberFormat="1" applyFill="1" applyBorder="1" applyAlignment="1">
      <alignment horizontal="center" vertical="center"/>
    </xf>
    <xf numFmtId="3" fontId="0" fillId="4" borderId="4" xfId="0" applyNumberFormat="1" applyFill="1" applyBorder="1" applyAlignment="1">
      <alignment horizontal="center" vertical="center"/>
    </xf>
    <xf numFmtId="165" fontId="0" fillId="4" borderId="11" xfId="1" applyNumberFormat="1" applyFont="1" applyFill="1" applyBorder="1" applyAlignment="1">
      <alignment horizontal="center" vertical="center"/>
    </xf>
    <xf numFmtId="165" fontId="0" fillId="4" borderId="4" xfId="1" applyNumberFormat="1" applyFont="1" applyFill="1" applyBorder="1" applyAlignment="1">
      <alignment horizontal="center" vertical="center"/>
    </xf>
    <xf numFmtId="3" fontId="0" fillId="4" borderId="4" xfId="1" applyNumberFormat="1" applyFont="1" applyFill="1" applyBorder="1" applyAlignment="1">
      <alignment horizontal="center" vertical="center"/>
    </xf>
    <xf numFmtId="167" fontId="0" fillId="4" borderId="4" xfId="0" applyNumberFormat="1" applyFill="1" applyBorder="1" applyAlignment="1">
      <alignment horizontal="center" vertical="center"/>
    </xf>
    <xf numFmtId="3" fontId="0" fillId="5" borderId="4" xfId="0" applyNumberFormat="1" applyFill="1" applyBorder="1" applyAlignment="1">
      <alignment horizontal="center" vertical="center"/>
    </xf>
    <xf numFmtId="165" fontId="0" fillId="5" borderId="11" xfId="1" applyNumberFormat="1" applyFont="1" applyFill="1" applyBorder="1" applyAlignment="1">
      <alignment horizontal="center" vertical="center"/>
    </xf>
    <xf numFmtId="165" fontId="0" fillId="5" borderId="4" xfId="1" applyNumberFormat="1" applyFont="1" applyFill="1" applyBorder="1" applyAlignment="1">
      <alignment horizontal="center" vertical="center"/>
    </xf>
    <xf numFmtId="3" fontId="0" fillId="5" borderId="4" xfId="1" applyNumberFormat="1" applyFont="1" applyFill="1" applyBorder="1" applyAlignment="1">
      <alignment horizontal="center" vertical="center"/>
    </xf>
    <xf numFmtId="167" fontId="0" fillId="5" borderId="4" xfId="0" applyNumberFormat="1" applyFill="1" applyBorder="1" applyAlignment="1">
      <alignment horizontal="center" vertical="center"/>
    </xf>
    <xf numFmtId="3" fontId="0" fillId="10" borderId="4" xfId="0" applyNumberFormat="1" applyFill="1" applyBorder="1" applyAlignment="1">
      <alignment horizontal="center"/>
    </xf>
    <xf numFmtId="165" fontId="0" fillId="10" borderId="4" xfId="1" applyNumberFormat="1" applyFont="1" applyFill="1" applyBorder="1" applyAlignment="1">
      <alignment horizontal="center" vertical="center"/>
    </xf>
    <xf numFmtId="10" fontId="0" fillId="12" borderId="4" xfId="2" applyNumberFormat="1" applyFont="1" applyFill="1" applyBorder="1" applyAlignment="1">
      <alignment horizontal="center" vertical="center"/>
    </xf>
    <xf numFmtId="10" fontId="0" fillId="12" borderId="6" xfId="2" applyNumberFormat="1" applyFont="1" applyFill="1" applyBorder="1" applyAlignment="1">
      <alignment horizontal="center" vertical="center"/>
    </xf>
    <xf numFmtId="10" fontId="0" fillId="13" borderId="4" xfId="2" applyNumberFormat="1" applyFont="1" applyFill="1" applyBorder="1" applyAlignment="1">
      <alignment horizontal="center" vertical="center"/>
    </xf>
    <xf numFmtId="3" fontId="0" fillId="13" borderId="4" xfId="0" applyNumberFormat="1" applyFill="1" applyBorder="1" applyAlignment="1">
      <alignment horizontal="center"/>
    </xf>
    <xf numFmtId="165" fontId="0" fillId="13" borderId="4" xfId="1" applyNumberFormat="1" applyFon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3" fontId="0" fillId="2" borderId="13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168" fontId="0" fillId="2" borderId="13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3" fontId="0" fillId="8" borderId="13" xfId="0" applyNumberFormat="1" applyFill="1" applyBorder="1" applyAlignment="1">
      <alignment horizontal="center" vertical="center"/>
    </xf>
    <xf numFmtId="165" fontId="0" fillId="8" borderId="14" xfId="1" applyNumberFormat="1" applyFont="1" applyFill="1" applyBorder="1" applyAlignment="1">
      <alignment horizontal="center" vertical="center"/>
    </xf>
    <xf numFmtId="165" fontId="0" fillId="8" borderId="13" xfId="1" applyNumberFormat="1" applyFont="1" applyFill="1" applyBorder="1" applyAlignment="1">
      <alignment horizontal="center" vertical="center"/>
    </xf>
    <xf numFmtId="4" fontId="0" fillId="8" borderId="13" xfId="0" applyNumberFormat="1" applyFill="1" applyBorder="1" applyAlignment="1">
      <alignment horizontal="center" vertical="center"/>
    </xf>
    <xf numFmtId="3" fontId="0" fillId="7" borderId="13" xfId="0" applyNumberFormat="1" applyFill="1" applyBorder="1" applyAlignment="1">
      <alignment horizontal="center" vertical="center"/>
    </xf>
    <xf numFmtId="165" fontId="0" fillId="7" borderId="14" xfId="1" applyNumberFormat="1" applyFont="1" applyFill="1" applyBorder="1" applyAlignment="1">
      <alignment horizontal="center" vertical="center"/>
    </xf>
    <xf numFmtId="165" fontId="0" fillId="7" borderId="13" xfId="1" applyNumberFormat="1" applyFont="1" applyFill="1" applyBorder="1" applyAlignment="1">
      <alignment horizontal="center" vertical="center"/>
    </xf>
    <xf numFmtId="3" fontId="0" fillId="7" borderId="13" xfId="1" applyNumberFormat="1" applyFon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165" fontId="0" fillId="9" borderId="14" xfId="1" applyNumberFormat="1" applyFont="1" applyFill="1" applyBorder="1" applyAlignment="1">
      <alignment horizontal="center" vertical="center"/>
    </xf>
    <xf numFmtId="165" fontId="0" fillId="9" borderId="13" xfId="1" applyNumberFormat="1" applyFont="1" applyFill="1" applyBorder="1" applyAlignment="1">
      <alignment horizontal="center" vertical="center"/>
    </xf>
    <xf numFmtId="3" fontId="0" fillId="9" borderId="13" xfId="1" applyNumberFormat="1" applyFont="1" applyFill="1" applyBorder="1" applyAlignment="1">
      <alignment horizontal="center" vertical="center"/>
    </xf>
    <xf numFmtId="167" fontId="0" fillId="9" borderId="13" xfId="0" applyNumberFormat="1" applyFill="1" applyBorder="1" applyAlignment="1">
      <alignment horizontal="center" vertical="center"/>
    </xf>
    <xf numFmtId="166" fontId="0" fillId="9" borderId="13" xfId="0" applyNumberFormat="1" applyFill="1" applyBorder="1" applyAlignment="1">
      <alignment horizontal="center" vertical="center"/>
    </xf>
    <xf numFmtId="3" fontId="0" fillId="4" borderId="13" xfId="0" applyNumberFormat="1" applyFill="1" applyBorder="1" applyAlignment="1">
      <alignment horizontal="center" vertical="center"/>
    </xf>
    <xf numFmtId="165" fontId="0" fillId="4" borderId="14" xfId="1" applyNumberFormat="1" applyFont="1" applyFill="1" applyBorder="1" applyAlignment="1">
      <alignment horizontal="center" vertical="center"/>
    </xf>
    <xf numFmtId="167" fontId="0" fillId="4" borderId="13" xfId="0" applyNumberFormat="1" applyFill="1" applyBorder="1" applyAlignment="1">
      <alignment horizontal="center" vertical="center"/>
    </xf>
    <xf numFmtId="3" fontId="0" fillId="5" borderId="13" xfId="0" applyNumberFormat="1" applyFill="1" applyBorder="1" applyAlignment="1">
      <alignment horizontal="center" vertical="center"/>
    </xf>
    <xf numFmtId="165" fontId="0" fillId="5" borderId="14" xfId="1" applyNumberFormat="1" applyFont="1" applyFill="1" applyBorder="1" applyAlignment="1">
      <alignment horizontal="center" vertical="center"/>
    </xf>
    <xf numFmtId="165" fontId="0" fillId="5" borderId="13" xfId="1" applyNumberFormat="1" applyFont="1" applyFill="1" applyBorder="1" applyAlignment="1">
      <alignment horizontal="center" vertical="center"/>
    </xf>
    <xf numFmtId="3" fontId="0" fillId="5" borderId="13" xfId="1" applyNumberFormat="1" applyFont="1" applyFill="1" applyBorder="1" applyAlignment="1">
      <alignment horizontal="center" vertical="center"/>
    </xf>
    <xf numFmtId="167" fontId="0" fillId="5" borderId="13" xfId="0" applyNumberFormat="1" applyFill="1" applyBorder="1" applyAlignment="1">
      <alignment horizontal="center" vertical="center"/>
    </xf>
    <xf numFmtId="3" fontId="0" fillId="10" borderId="13" xfId="0" applyNumberFormat="1" applyFill="1" applyBorder="1" applyAlignment="1">
      <alignment horizontal="center"/>
    </xf>
    <xf numFmtId="165" fontId="0" fillId="10" borderId="13" xfId="1" applyNumberFormat="1" applyFont="1" applyFill="1" applyBorder="1" applyAlignment="1">
      <alignment horizontal="center" vertical="center"/>
    </xf>
    <xf numFmtId="10" fontId="0" fillId="12" borderId="13" xfId="2" applyNumberFormat="1" applyFont="1" applyFill="1" applyBorder="1" applyAlignment="1">
      <alignment horizontal="center" vertical="center"/>
    </xf>
    <xf numFmtId="10" fontId="0" fillId="12" borderId="15" xfId="2" applyNumberFormat="1" applyFont="1" applyFill="1" applyBorder="1" applyAlignment="1">
      <alignment horizontal="center" vertical="center"/>
    </xf>
    <xf numFmtId="10" fontId="0" fillId="13" borderId="13" xfId="2" applyNumberFormat="1" applyFont="1" applyFill="1" applyBorder="1" applyAlignment="1">
      <alignment horizontal="center" vertical="center"/>
    </xf>
    <xf numFmtId="3" fontId="0" fillId="13" borderId="13" xfId="0" applyNumberFormat="1" applyFill="1" applyBorder="1" applyAlignment="1">
      <alignment horizontal="center"/>
    </xf>
    <xf numFmtId="165" fontId="0" fillId="13" borderId="13" xfId="1" applyNumberFormat="1" applyFont="1" applyFill="1" applyBorder="1" applyAlignment="1">
      <alignment horizontal="center"/>
    </xf>
    <xf numFmtId="165" fontId="0" fillId="2" borderId="3" xfId="0" applyNumberFormat="1" applyFill="1" applyBorder="1" applyAlignment="1">
      <alignment horizontal="center" vertical="center"/>
    </xf>
    <xf numFmtId="165" fontId="0" fillId="2" borderId="3" xfId="1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5" fontId="0" fillId="8" borderId="9" xfId="1" applyNumberFormat="1" applyFont="1" applyFill="1" applyBorder="1" applyAlignment="1">
      <alignment horizontal="center" vertical="center"/>
    </xf>
    <xf numFmtId="165" fontId="0" fillId="8" borderId="3" xfId="1" applyNumberFormat="1" applyFont="1" applyFill="1" applyBorder="1" applyAlignment="1">
      <alignment horizontal="center" vertical="center"/>
    </xf>
    <xf numFmtId="4" fontId="0" fillId="8" borderId="3" xfId="0" applyNumberFormat="1" applyFill="1" applyBorder="1" applyAlignment="1">
      <alignment horizontal="center" vertical="center"/>
    </xf>
    <xf numFmtId="165" fontId="0" fillId="8" borderId="11" xfId="1" applyNumberFormat="1" applyFont="1" applyFill="1" applyBorder="1" applyAlignment="1">
      <alignment horizontal="center" vertical="center"/>
    </xf>
    <xf numFmtId="3" fontId="0" fillId="8" borderId="13" xfId="1" applyNumberFormat="1" applyFont="1" applyFill="1" applyBorder="1" applyAlignment="1">
      <alignment horizontal="center" vertical="center"/>
    </xf>
    <xf numFmtId="3" fontId="0" fillId="8" borderId="3" xfId="1" applyNumberFormat="1" applyFont="1" applyFill="1" applyBorder="1" applyAlignment="1">
      <alignment horizontal="center" vertical="center"/>
    </xf>
    <xf numFmtId="10" fontId="0" fillId="3" borderId="3" xfId="2" applyNumberFormat="1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165" fontId="0" fillId="3" borderId="13" xfId="1" applyNumberFormat="1" applyFont="1" applyFill="1" applyBorder="1" applyAlignment="1">
      <alignment horizontal="center" vertical="center"/>
    </xf>
    <xf numFmtId="3" fontId="0" fillId="13" borderId="16" xfId="0" applyNumberForma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168" fontId="0" fillId="3" borderId="3" xfId="0" applyNumberFormat="1" applyFill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3" fontId="0" fillId="3" borderId="3" xfId="1" applyNumberFormat="1" applyFont="1" applyFill="1" applyBorder="1" applyAlignment="1">
      <alignment horizontal="center" vertical="center"/>
    </xf>
    <xf numFmtId="167" fontId="0" fillId="3" borderId="3" xfId="0" applyNumberFormat="1" applyFill="1" applyBorder="1" applyAlignment="1">
      <alignment horizontal="center" vertical="center"/>
    </xf>
    <xf numFmtId="170" fontId="0" fillId="2" borderId="4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166" fontId="0" fillId="4" borderId="3" xfId="1" applyNumberFormat="1" applyFont="1" applyFill="1" applyBorder="1" applyAlignment="1">
      <alignment horizontal="center" vertical="center"/>
    </xf>
    <xf numFmtId="166" fontId="0" fillId="7" borderId="13" xfId="0" applyNumberFormat="1" applyFill="1" applyBorder="1" applyAlignment="1">
      <alignment horizontal="center" vertical="center"/>
    </xf>
    <xf numFmtId="166" fontId="0" fillId="4" borderId="13" xfId="1" applyNumberFormat="1" applyFont="1" applyFill="1" applyBorder="1" applyAlignment="1">
      <alignment horizontal="center" vertical="center"/>
    </xf>
    <xf numFmtId="166" fontId="0" fillId="7" borderId="3" xfId="0" applyNumberFormat="1" applyFill="1" applyBorder="1" applyAlignment="1">
      <alignment horizontal="center" vertical="center"/>
    </xf>
    <xf numFmtId="3" fontId="0" fillId="13" borderId="5" xfId="0" applyNumberFormat="1" applyFill="1" applyBorder="1" applyAlignment="1">
      <alignment horizontal="center"/>
    </xf>
    <xf numFmtId="4" fontId="0" fillId="5" borderId="3" xfId="1" applyNumberFormat="1" applyFont="1" applyFill="1" applyBorder="1" applyAlignment="1">
      <alignment horizontal="center" vertical="center"/>
    </xf>
    <xf numFmtId="165" fontId="0" fillId="3" borderId="13" xfId="0" applyNumberFormat="1" applyFill="1" applyBorder="1" applyAlignment="1">
      <alignment horizontal="center" vertical="center"/>
    </xf>
    <xf numFmtId="3" fontId="0" fillId="4" borderId="13" xfId="0" applyNumberFormat="1" applyFill="1" applyBorder="1" applyAlignment="1">
      <alignment horizontal="center" vertical="center" wrapText="1"/>
    </xf>
    <xf numFmtId="165" fontId="0" fillId="3" borderId="14" xfId="1" applyNumberFormat="1" applyFont="1" applyFill="1" applyBorder="1" applyAlignment="1">
      <alignment horizontal="center" vertical="center"/>
    </xf>
    <xf numFmtId="10" fontId="0" fillId="3" borderId="13" xfId="2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11" borderId="17" xfId="0" applyFill="1" applyBorder="1" applyAlignment="1">
      <alignment horizontal="center" vertical="center" wrapText="1"/>
    </xf>
    <xf numFmtId="3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/>
    </xf>
    <xf numFmtId="3" fontId="0" fillId="2" borderId="17" xfId="0" applyNumberFormat="1" applyFill="1" applyBorder="1" applyAlignment="1">
      <alignment horizontal="center" vertical="center"/>
    </xf>
    <xf numFmtId="168" fontId="0" fillId="2" borderId="17" xfId="0" applyNumberFormat="1" applyFill="1" applyBorder="1" applyAlignment="1">
      <alignment horizontal="center" vertical="center"/>
    </xf>
    <xf numFmtId="165" fontId="0" fillId="11" borderId="17" xfId="0" applyNumberFormat="1" applyFill="1" applyBorder="1" applyAlignment="1">
      <alignment horizontal="center" vertical="center"/>
    </xf>
    <xf numFmtId="165" fontId="0" fillId="3" borderId="17" xfId="1" applyNumberFormat="1" applyFont="1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3" fontId="0" fillId="8" borderId="17" xfId="0" applyNumberFormat="1" applyFill="1" applyBorder="1" applyAlignment="1">
      <alignment horizontal="center" vertical="center"/>
    </xf>
    <xf numFmtId="165" fontId="0" fillId="8" borderId="17" xfId="1" applyNumberFormat="1" applyFont="1" applyFill="1" applyBorder="1" applyAlignment="1">
      <alignment horizontal="center" vertical="center"/>
    </xf>
    <xf numFmtId="3" fontId="0" fillId="8" borderId="17" xfId="1" applyNumberFormat="1" applyFont="1" applyFill="1" applyBorder="1" applyAlignment="1">
      <alignment horizontal="center" vertical="center"/>
    </xf>
    <xf numFmtId="4" fontId="0" fillId="8" borderId="17" xfId="0" applyNumberFormat="1" applyFill="1" applyBorder="1" applyAlignment="1">
      <alignment horizontal="center" vertical="center"/>
    </xf>
    <xf numFmtId="3" fontId="0" fillId="7" borderId="17" xfId="0" applyNumberFormat="1" applyFill="1" applyBorder="1" applyAlignment="1">
      <alignment horizontal="center" vertical="center"/>
    </xf>
    <xf numFmtId="165" fontId="0" fillId="7" borderId="17" xfId="1" applyNumberFormat="1" applyFont="1" applyFill="1" applyBorder="1" applyAlignment="1">
      <alignment horizontal="center" vertical="center"/>
    </xf>
    <xf numFmtId="3" fontId="0" fillId="7" borderId="17" xfId="1" applyNumberFormat="1" applyFont="1" applyFill="1" applyBorder="1" applyAlignment="1">
      <alignment horizontal="center" vertical="center"/>
    </xf>
    <xf numFmtId="3" fontId="0" fillId="9" borderId="17" xfId="0" applyNumberFormat="1" applyFill="1" applyBorder="1" applyAlignment="1">
      <alignment horizontal="center" vertical="center"/>
    </xf>
    <xf numFmtId="165" fontId="0" fillId="9" borderId="17" xfId="1" applyNumberFormat="1" applyFont="1" applyFill="1" applyBorder="1" applyAlignment="1">
      <alignment horizontal="center" vertical="center"/>
    </xf>
    <xf numFmtId="3" fontId="0" fillId="9" borderId="17" xfId="1" applyNumberFormat="1" applyFont="1" applyFill="1" applyBorder="1" applyAlignment="1">
      <alignment horizontal="center" vertical="center"/>
    </xf>
    <xf numFmtId="167" fontId="0" fillId="9" borderId="17" xfId="0" applyNumberFormat="1" applyFill="1" applyBorder="1" applyAlignment="1">
      <alignment horizontal="center" vertical="center"/>
    </xf>
    <xf numFmtId="166" fontId="0" fillId="9" borderId="17" xfId="0" applyNumberFormat="1" applyFill="1" applyBorder="1" applyAlignment="1">
      <alignment horizontal="center" vertical="center"/>
    </xf>
    <xf numFmtId="3" fontId="0" fillId="4" borderId="17" xfId="0" applyNumberFormat="1" applyFill="1" applyBorder="1" applyAlignment="1">
      <alignment horizontal="center" vertical="center"/>
    </xf>
    <xf numFmtId="165" fontId="0" fillId="4" borderId="17" xfId="1" applyNumberFormat="1" applyFont="1" applyFill="1" applyBorder="1" applyAlignment="1">
      <alignment horizontal="center" vertical="center"/>
    </xf>
    <xf numFmtId="3" fontId="0" fillId="4" borderId="17" xfId="1" applyNumberFormat="1" applyFont="1" applyFill="1" applyBorder="1" applyAlignment="1">
      <alignment horizontal="center" vertical="center"/>
    </xf>
    <xf numFmtId="167" fontId="0" fillId="4" borderId="17" xfId="0" applyNumberFormat="1" applyFill="1" applyBorder="1" applyAlignment="1">
      <alignment horizontal="center" vertical="center"/>
    </xf>
    <xf numFmtId="3" fontId="0" fillId="5" borderId="17" xfId="0" applyNumberFormat="1" applyFill="1" applyBorder="1" applyAlignment="1">
      <alignment horizontal="center" vertical="center"/>
    </xf>
    <xf numFmtId="165" fontId="0" fillId="5" borderId="17" xfId="1" applyNumberFormat="1" applyFont="1" applyFill="1" applyBorder="1" applyAlignment="1">
      <alignment horizontal="center" vertical="center"/>
    </xf>
    <xf numFmtId="3" fontId="0" fillId="5" borderId="17" xfId="1" applyNumberFormat="1" applyFont="1" applyFill="1" applyBorder="1" applyAlignment="1">
      <alignment horizontal="center" vertical="center"/>
    </xf>
    <xf numFmtId="167" fontId="0" fillId="5" borderId="17" xfId="0" applyNumberFormat="1" applyFill="1" applyBorder="1" applyAlignment="1">
      <alignment horizontal="center" vertical="center"/>
    </xf>
    <xf numFmtId="3" fontId="0" fillId="10" borderId="17" xfId="0" applyNumberFormat="1" applyFill="1" applyBorder="1" applyAlignment="1">
      <alignment horizontal="center"/>
    </xf>
    <xf numFmtId="165" fontId="0" fillId="10" borderId="17" xfId="1" applyNumberFormat="1" applyFont="1" applyFill="1" applyBorder="1" applyAlignment="1">
      <alignment horizontal="center" vertical="center"/>
    </xf>
    <xf numFmtId="10" fontId="0" fillId="12" borderId="17" xfId="2" applyNumberFormat="1" applyFont="1" applyFill="1" applyBorder="1" applyAlignment="1">
      <alignment horizontal="center" vertical="center"/>
    </xf>
    <xf numFmtId="10" fontId="0" fillId="13" borderId="17" xfId="2" applyNumberFormat="1" applyFont="1" applyFill="1" applyBorder="1" applyAlignment="1">
      <alignment horizontal="center" vertical="center"/>
    </xf>
    <xf numFmtId="3" fontId="0" fillId="13" borderId="17" xfId="0" applyNumberFormat="1" applyFill="1" applyBorder="1" applyAlignment="1">
      <alignment horizontal="center"/>
    </xf>
    <xf numFmtId="165" fontId="0" fillId="13" borderId="17" xfId="1" applyNumberFormat="1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2" fillId="1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12" borderId="6" xfId="0" applyFont="1" applyFill="1" applyBorder="1" applyAlignment="1">
      <alignment horizontal="center"/>
    </xf>
    <xf numFmtId="0" fontId="2" fillId="12" borderId="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DFCC0"/>
      <color rgb="FFFFECB7"/>
      <color rgb="FFE9CAF6"/>
      <color rgb="FFDDFFDF"/>
      <color rgb="FFFCFCC4"/>
      <color rgb="FFEDE5D3"/>
      <color rgb="FFFCBC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Hoja1!$J$61:$J$68</c:f>
              <c:numCache>
                <c:formatCode>#,##0</c:formatCode>
                <c:ptCount val="8"/>
                <c:pt idx="0">
                  <c:v>176734</c:v>
                </c:pt>
                <c:pt idx="1">
                  <c:v>100693</c:v>
                </c:pt>
                <c:pt idx="2">
                  <c:v>9639.9699999999993</c:v>
                </c:pt>
                <c:pt idx="3">
                  <c:v>129322</c:v>
                </c:pt>
                <c:pt idx="4">
                  <c:v>5649000</c:v>
                </c:pt>
                <c:pt idx="5">
                  <c:v>7287</c:v>
                </c:pt>
                <c:pt idx="6">
                  <c:v>1850000</c:v>
                </c:pt>
                <c:pt idx="7">
                  <c:v>127500</c:v>
                </c:pt>
              </c:numCache>
            </c:numRef>
          </c:xVal>
          <c:yVal>
            <c:numRef>
              <c:f>Hoja1!$K$61:$K$68</c:f>
              <c:numCache>
                <c:formatCode>_-"$"\ * #,##0_-;\-"$"\ * #,##0_-;_-"$"\ * "-"??_-;_-@_-</c:formatCode>
                <c:ptCount val="8"/>
                <c:pt idx="0">
                  <c:v>415</c:v>
                </c:pt>
                <c:pt idx="1">
                  <c:v>521.61</c:v>
                </c:pt>
                <c:pt idx="2">
                  <c:v>504.48</c:v>
                </c:pt>
                <c:pt idx="3">
                  <c:v>541</c:v>
                </c:pt>
                <c:pt idx="4">
                  <c:v>487</c:v>
                </c:pt>
                <c:pt idx="5">
                  <c:v>660.1</c:v>
                </c:pt>
                <c:pt idx="6">
                  <c:v>390</c:v>
                </c:pt>
                <c:pt idx="7">
                  <c:v>440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A6-4A06-A67D-5C2C332B9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558527"/>
        <c:axId val="1397390111"/>
      </c:scatterChart>
      <c:valAx>
        <c:axId val="147255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7390111"/>
        <c:crosses val="autoZero"/>
        <c:crossBetween val="midCat"/>
      </c:valAx>
      <c:valAx>
        <c:axId val="139739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2558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395287</xdr:colOff>
      <xdr:row>60</xdr:row>
      <xdr:rowOff>23812</xdr:rowOff>
    </xdr:from>
    <xdr:to>
      <xdr:col>9</xdr:col>
      <xdr:colOff>404812</xdr:colOff>
      <xdr:row>74</xdr:row>
      <xdr:rowOff>100012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7F84DB5-B671-4155-B25F-304CB1314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ERMAN CAMILO MORA TURIZO" id="{DC8F361B-5EEA-492F-AB5E-DBC1459C9EA4}" userId="S::gmora611@o365.unab.edu.co::7a9f2749-8c99-42e6-ab2f-8488baad9d7b" providerId="AD"/>
  <person displayName="ELIANA MARIA CORTES CHACON" id="{63F5D8A0-67B9-4252-AEC2-48A44B6B9269}" userId="S::ecortes554@o365.unab.edu.co::d0a5ac4f-7d62-490d-a85a-78fe5106366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H4" dT="2026-03-10T03:24:57.05" personId="{DC8F361B-5EEA-492F-AB5E-DBC1459C9EA4}" id="{DB4F6D94-6B6F-4F40-BC5A-9FE62A3FDD95}">
    <text>32,28 MJ/kg</text>
  </threadedComment>
  <threadedComment ref="H5" dT="2026-03-08T21:07:47.05" personId="{DC8F361B-5EEA-492F-AB5E-DBC1459C9EA4}" id="{E27A6761-4B8B-47F1-928F-A4A598C0BA6D}">
    <text>1540 Ton/mes</text>
  </threadedComment>
  <threadedComment ref="AS6" dT="2026-03-10T03:24:22.96" personId="{DC8F361B-5EEA-492F-AB5E-DBC1459C9EA4}" id="{EF55D802-8541-4827-ADF9-BB5E0DC7CA22}">
    <text>128.66 MJ/USgal</text>
  </threadedComment>
  <threadedComment ref="H7" dT="2026-03-08T21:07:00.70" personId="{DC8F361B-5EEA-492F-AB5E-DBC1459C9EA4}" id="{7F911F81-CD79-4EE8-8E28-3E4B31D7517C}">
    <text>No es la producción crítica</text>
  </threadedComment>
  <threadedComment ref="H7" dT="2026-03-10T02:47:13.33" personId="{DC8F361B-5EEA-492F-AB5E-DBC1459C9EA4}" id="{5D666B8A-98C4-4750-A233-D20B82A6A54A}" parentId="{7F911F81-CD79-4EE8-8E28-3E4B31D7517C}">
    <text>5598 m3/mes</text>
  </threadedComment>
  <threadedComment ref="T8" dT="2026-03-08T21:08:44.72" personId="{DC8F361B-5EEA-492F-AB5E-DBC1459C9EA4}" id="{6E26E556-55F6-4DFD-AED7-27A0E0DE86F0}">
    <text>$ 2579.418 /m3</text>
  </threadedComment>
  <threadedComment ref="W8" dT="2026-03-10T04:32:49.67" personId="{DC8F361B-5EEA-492F-AB5E-DBC1459C9EA4}" id="{0DC9F2FA-3C27-4E67-AC8B-96BAD45EB0F3}">
    <text>43.39331 MJ/m3</text>
  </threadedComment>
  <threadedComment ref="H9" dT="2026-03-07T05:17:38.74" personId="{DC8F361B-5EEA-492F-AB5E-DBC1459C9EA4}" id="{C19A957D-23C4-4FD9-88D6-09B6033F0CB0}">
    <text>Tomaron la producción crítica</text>
  </threadedComment>
  <threadedComment ref="H10" dT="2026-03-07T05:17:42.34" personId="{DC8F361B-5EEA-492F-AB5E-DBC1459C9EA4}" id="{0C702C1A-2262-43D7-B781-111BE434F3CF}">
    <text>Tomaron la producción crítica</text>
  </threadedComment>
  <threadedComment ref="I10" dT="2026-03-07T17:56:52.29" personId="{DC8F361B-5EEA-492F-AB5E-DBC1459C9EA4}" id="{E416D217-315F-4D91-8285-A6A38F4FC93B}">
    <text>es kg</text>
  </threadedComment>
  <threadedComment ref="BH11" dT="2025-12-15T00:45:01.53" personId="{63F5D8A0-67B9-4252-AEC2-48A44B6B9269}" id="{0BE51A6C-11E6-4420-B619-A5CA6F65BDF8}">
    <text>Usan una biomasa que no aparece en la calculadora de la UPME</text>
  </threadedComment>
  <threadedComment ref="BH11" dT="2026-03-07T18:28:24.34" personId="{DC8F361B-5EEA-492F-AB5E-DBC1459C9EA4}" id="{495A0FB9-1205-4419-AD21-3718C8258BAD}" parentId="{0BE51A6C-11E6-4420-B619-A5CA6F65BDF8}">
    <text>Quizás no se consideren emisiones biogénicas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F9C6-64EC-41A4-A0A1-72444D6FEEC7}">
  <dimension ref="A1:K2"/>
  <sheetViews>
    <sheetView topLeftCell="B1" zoomScaleNormal="100" workbookViewId="0">
      <selection activeCell="B2" sqref="B2"/>
    </sheetView>
  </sheetViews>
  <sheetFormatPr defaultColWidth="11.42578125" defaultRowHeight="15"/>
  <cols>
    <col min="2" max="2" width="32.42578125" bestFit="1" customWidth="1"/>
    <col min="3" max="3" width="38.85546875" customWidth="1"/>
    <col min="4" max="5" width="17.7109375" customWidth="1"/>
    <col min="6" max="6" width="15.5703125" customWidth="1"/>
    <col min="7" max="7" width="9.28515625" bestFit="1" customWidth="1"/>
    <col min="8" max="8" width="13.140625" customWidth="1"/>
    <col min="9" max="9" width="10" customWidth="1"/>
    <col min="11" max="11" width="23.28515625" customWidth="1"/>
  </cols>
  <sheetData>
    <row r="1" spans="1:11" ht="45">
      <c r="A1" s="23"/>
      <c r="B1" s="23" t="s">
        <v>0</v>
      </c>
      <c r="C1" s="23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9</v>
      </c>
    </row>
    <row r="2" spans="1:11" ht="45">
      <c r="A2" s="23" t="s">
        <v>10</v>
      </c>
      <c r="B2" s="23" t="s">
        <v>11</v>
      </c>
      <c r="C2" s="25" t="s">
        <v>12</v>
      </c>
      <c r="D2" s="23"/>
      <c r="E2" s="23"/>
      <c r="F2" s="23"/>
      <c r="G2" s="23"/>
      <c r="H2" s="23"/>
      <c r="I2" s="23"/>
      <c r="J2" s="23"/>
      <c r="K2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C4FC1-20F0-4A43-9281-D44BDC7A1112}">
  <sheetPr filterMode="1"/>
  <dimension ref="A1:CK70"/>
  <sheetViews>
    <sheetView tabSelected="1" zoomScale="70" zoomScaleNormal="70" workbookViewId="0">
      <pane ySplit="1" topLeftCell="BS20" activePane="bottomLeft" state="frozen"/>
      <selection pane="bottomLeft" activeCell="A23" sqref="A23:XFD23"/>
    </sheetView>
  </sheetViews>
  <sheetFormatPr defaultColWidth="11.42578125" defaultRowHeight="15" customHeight="1" outlineLevelCol="7"/>
  <cols>
    <col min="3" max="3" width="16.28515625" bestFit="1" customWidth="1"/>
    <col min="4" max="4" width="31.85546875" bestFit="1" customWidth="1"/>
    <col min="5" max="5" width="31.28515625" customWidth="1"/>
    <col min="6" max="6" width="22.7109375" customWidth="1"/>
    <col min="7" max="7" width="43" customWidth="1"/>
    <col min="8" max="8" width="19" bestFit="1" customWidth="1"/>
    <col min="9" max="9" width="68.42578125" customWidth="1"/>
    <col min="10" max="10" width="15.140625" customWidth="1" outlineLevel="7"/>
    <col min="11" max="11" width="13.140625" customWidth="1" outlineLevel="7"/>
    <col min="12" max="12" width="12.28515625" customWidth="1" outlineLevel="7"/>
    <col min="13" max="13" width="14.28515625" customWidth="1" outlineLevel="7"/>
    <col min="14" max="14" width="19" customWidth="1" outlineLevel="7"/>
    <col min="15" max="15" width="20.42578125" customWidth="1" outlineLevel="7"/>
    <col min="16" max="16" width="17.28515625" customWidth="1" outlineLevel="7"/>
    <col min="17" max="17" width="17.7109375" customWidth="1" outlineLevel="7"/>
    <col min="18" max="18" width="16.85546875" customWidth="1" outlineLevel="7"/>
    <col min="19" max="19" width="16.7109375" customWidth="1" outlineLevel="7"/>
    <col min="20" max="20" width="18.85546875" customWidth="1" outlineLevel="7"/>
    <col min="21" max="21" width="18.42578125" customWidth="1" outlineLevel="7"/>
    <col min="22" max="22" width="19.42578125" customWidth="1" outlineLevel="7"/>
    <col min="23" max="23" width="13.140625" customWidth="1" outlineLevel="7"/>
    <col min="24" max="24" width="18.42578125" customWidth="1" outlineLevel="7"/>
    <col min="25" max="25" width="18.5703125" customWidth="1" outlineLevel="7"/>
    <col min="26" max="26" width="14.85546875" customWidth="1" outlineLevel="7"/>
    <col min="27" max="27" width="19" customWidth="1" outlineLevel="7"/>
    <col min="28" max="28" width="18.42578125" customWidth="1" outlineLevel="7"/>
    <col min="29" max="29" width="15.140625" customWidth="1" outlineLevel="6"/>
    <col min="30" max="30" width="13.5703125" customWidth="1" outlineLevel="6"/>
    <col min="31" max="31" width="15.5703125" customWidth="1" outlineLevel="6"/>
    <col min="32" max="32" width="16.28515625" customWidth="1" outlineLevel="6"/>
    <col min="33" max="33" width="18.5703125" customWidth="1" outlineLevel="6"/>
    <col min="34" max="34" width="13.7109375" bestFit="1" customWidth="1" outlineLevel="6"/>
    <col min="35" max="35" width="18" customWidth="1" outlineLevel="6"/>
    <col min="36" max="36" width="17.5703125" customWidth="1" outlineLevel="6"/>
    <col min="37" max="37" width="15.140625" customWidth="1" outlineLevel="6"/>
    <col min="38" max="38" width="15.5703125" customWidth="1" outlineLevel="6"/>
    <col min="39" max="39" width="13.140625" customWidth="1" outlineLevel="6"/>
    <col min="40" max="40" width="16.140625" customWidth="1" outlineLevel="5"/>
    <col min="41" max="41" width="15.7109375" customWidth="1" outlineLevel="5"/>
    <col min="42" max="42" width="16.7109375" customWidth="1" outlineLevel="5"/>
    <col min="43" max="43" width="18.140625" customWidth="1" outlineLevel="5"/>
    <col min="44" max="44" width="17.5703125" customWidth="1" outlineLevel="5"/>
    <col min="45" max="45" width="11.42578125" customWidth="1" outlineLevel="5"/>
    <col min="46" max="46" width="17.7109375" customWidth="1" outlineLevel="5"/>
    <col min="47" max="47" width="17.28515625" customWidth="1" outlineLevel="5"/>
    <col min="48" max="48" width="14.5703125" customWidth="1" outlineLevel="5"/>
    <col min="49" max="49" width="15.85546875" customWidth="1" outlineLevel="5"/>
    <col min="50" max="50" width="14" customWidth="1" outlineLevel="5"/>
    <col min="51" max="51" width="13.140625" customWidth="1" outlineLevel="4"/>
    <col min="52" max="55" width="11.42578125" customWidth="1" outlineLevel="4"/>
    <col min="56" max="56" width="13" customWidth="1" outlineLevel="4"/>
    <col min="57" max="57" width="13.5703125" customWidth="1" outlineLevel="4"/>
    <col min="58" max="58" width="13.140625" customWidth="1" outlineLevel="4"/>
    <col min="59" max="59" width="11.42578125" customWidth="1" outlineLevel="4"/>
    <col min="60" max="60" width="17" customWidth="1" outlineLevel="4"/>
    <col min="61" max="61" width="13.7109375" customWidth="1" outlineLevel="4"/>
    <col min="62" max="62" width="12.7109375" customWidth="1" outlineLevel="3"/>
    <col min="63" max="63" width="15.28515625" customWidth="1" outlineLevel="3"/>
    <col min="64" max="64" width="16.28515625" customWidth="1" outlineLevel="3"/>
    <col min="65" max="65" width="18.42578125" customWidth="1" outlineLevel="3"/>
    <col min="66" max="66" width="15.42578125" customWidth="1" outlineLevel="3"/>
    <col min="67" max="67" width="11.42578125" customWidth="1" outlineLevel="3"/>
    <col min="68" max="68" width="19.85546875" customWidth="1" outlineLevel="3"/>
    <col min="69" max="69" width="17.5703125" customWidth="1" outlineLevel="3"/>
    <col min="70" max="70" width="14.140625" customWidth="1" outlineLevel="3"/>
    <col min="71" max="71" width="15.42578125" customWidth="1" outlineLevel="3"/>
    <col min="72" max="72" width="13.140625" customWidth="1" outlineLevel="3"/>
    <col min="73" max="73" width="18.28515625" customWidth="1" outlineLevel="2"/>
    <col min="74" max="74" width="14.7109375" customWidth="1" outlineLevel="2"/>
    <col min="75" max="75" width="18.7109375" customWidth="1" outlineLevel="2"/>
    <col min="76" max="76" width="20.140625" customWidth="1" outlineLevel="2"/>
    <col min="77" max="77" width="14.7109375" customWidth="1" outlineLevel="2"/>
    <col min="78" max="78" width="14.7109375" customWidth="1" outlineLevel="1"/>
    <col min="79" max="83" width="11.42578125" customWidth="1" outlineLevel="1"/>
    <col min="85" max="85" width="16.85546875" bestFit="1" customWidth="1"/>
    <col min="86" max="86" width="20.7109375" customWidth="1"/>
    <col min="87" max="87" width="24.140625" customWidth="1"/>
  </cols>
  <sheetData>
    <row r="1" spans="1:89">
      <c r="A1" s="276" t="s">
        <v>13</v>
      </c>
      <c r="B1" s="276" t="s">
        <v>14</v>
      </c>
      <c r="C1" s="276" t="s">
        <v>15</v>
      </c>
      <c r="D1" s="276" t="s">
        <v>16</v>
      </c>
      <c r="E1" s="276" t="s">
        <v>17</v>
      </c>
      <c r="F1" s="282" t="s">
        <v>18</v>
      </c>
      <c r="G1" s="276" t="s">
        <v>19</v>
      </c>
      <c r="H1" s="289" t="s">
        <v>20</v>
      </c>
      <c r="I1" s="289" t="s">
        <v>21</v>
      </c>
      <c r="J1" s="284" t="s">
        <v>22</v>
      </c>
      <c r="K1" s="284"/>
      <c r="L1" s="284"/>
      <c r="M1" s="284"/>
      <c r="N1" s="284"/>
      <c r="O1" s="284"/>
      <c r="P1" s="284"/>
      <c r="Q1" s="284"/>
      <c r="R1" s="285" t="s">
        <v>23</v>
      </c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6" t="s">
        <v>24</v>
      </c>
      <c r="AD1" s="286"/>
      <c r="AE1" s="286"/>
      <c r="AF1" s="286"/>
      <c r="AG1" s="286"/>
      <c r="AH1" s="286"/>
      <c r="AI1" s="286"/>
      <c r="AJ1" s="286"/>
      <c r="AK1" s="286"/>
      <c r="AL1" s="286"/>
      <c r="AM1" s="286"/>
      <c r="AN1" s="287" t="s">
        <v>25</v>
      </c>
      <c r="AO1" s="287"/>
      <c r="AP1" s="287"/>
      <c r="AQ1" s="287"/>
      <c r="AR1" s="287"/>
      <c r="AS1" s="287"/>
      <c r="AT1" s="287"/>
      <c r="AU1" s="287"/>
      <c r="AV1" s="287"/>
      <c r="AW1" s="287"/>
      <c r="AX1" s="287"/>
      <c r="AY1" s="288" t="s">
        <v>26</v>
      </c>
      <c r="AZ1" s="288"/>
      <c r="BA1" s="288"/>
      <c r="BB1" s="288"/>
      <c r="BC1" s="288"/>
      <c r="BD1" s="288"/>
      <c r="BE1" s="288"/>
      <c r="BF1" s="288"/>
      <c r="BG1" s="288"/>
      <c r="BH1" s="288"/>
      <c r="BI1" s="288"/>
      <c r="BJ1" s="281" t="s">
        <v>27</v>
      </c>
      <c r="BK1" s="281"/>
      <c r="BL1" s="281"/>
      <c r="BM1" s="281"/>
      <c r="BN1" s="281"/>
      <c r="BO1" s="281"/>
      <c r="BP1" s="281"/>
      <c r="BQ1" s="281"/>
      <c r="BR1" s="281"/>
      <c r="BS1" s="281"/>
      <c r="BT1" s="281"/>
      <c r="BU1" s="279" t="s">
        <v>28</v>
      </c>
      <c r="BV1" s="279"/>
      <c r="BW1" s="279"/>
      <c r="BX1" s="279"/>
      <c r="BY1" s="279"/>
      <c r="BZ1" s="277" t="s">
        <v>29</v>
      </c>
      <c r="CA1" s="278"/>
      <c r="CB1" s="278"/>
      <c r="CC1" s="278"/>
      <c r="CD1" s="278"/>
      <c r="CE1" s="278"/>
      <c r="CF1" s="275" t="s">
        <v>30</v>
      </c>
      <c r="CG1" s="275"/>
      <c r="CH1" s="275"/>
      <c r="CI1" s="275"/>
    </row>
    <row r="2" spans="1:89" ht="60">
      <c r="A2" s="276"/>
      <c r="B2" s="276"/>
      <c r="C2" s="276"/>
      <c r="D2" s="276"/>
      <c r="E2" s="276"/>
      <c r="F2" s="283"/>
      <c r="G2" s="276"/>
      <c r="H2" s="289"/>
      <c r="I2" s="289"/>
      <c r="J2" s="4" t="s">
        <v>31</v>
      </c>
      <c r="K2" s="4" t="s">
        <v>32</v>
      </c>
      <c r="L2" s="4" t="s">
        <v>33</v>
      </c>
      <c r="M2" s="4" t="s">
        <v>34</v>
      </c>
      <c r="N2" s="4" t="s">
        <v>35</v>
      </c>
      <c r="O2" s="4" t="s">
        <v>36</v>
      </c>
      <c r="P2" s="60" t="s">
        <v>37</v>
      </c>
      <c r="Q2" s="4" t="s">
        <v>38</v>
      </c>
      <c r="R2" s="34" t="s">
        <v>39</v>
      </c>
      <c r="S2" s="34" t="s">
        <v>40</v>
      </c>
      <c r="T2" s="34" t="s">
        <v>41</v>
      </c>
      <c r="U2" s="34" t="s">
        <v>42</v>
      </c>
      <c r="V2" s="34" t="s">
        <v>43</v>
      </c>
      <c r="W2" s="34" t="s">
        <v>44</v>
      </c>
      <c r="X2" s="34" t="s">
        <v>45</v>
      </c>
      <c r="Y2" s="34" t="s">
        <v>46</v>
      </c>
      <c r="Z2" s="34" t="s">
        <v>47</v>
      </c>
      <c r="AA2" s="59" t="s">
        <v>48</v>
      </c>
      <c r="AB2" s="34" t="s">
        <v>49</v>
      </c>
      <c r="AC2" s="28" t="s">
        <v>50</v>
      </c>
      <c r="AD2" s="28" t="s">
        <v>51</v>
      </c>
      <c r="AE2" s="28" t="s">
        <v>52</v>
      </c>
      <c r="AF2" s="28" t="s">
        <v>53</v>
      </c>
      <c r="AG2" s="28" t="s">
        <v>54</v>
      </c>
      <c r="AH2" s="28" t="s">
        <v>55</v>
      </c>
      <c r="AI2" s="28" t="s">
        <v>56</v>
      </c>
      <c r="AJ2" s="28" t="s">
        <v>57</v>
      </c>
      <c r="AK2" s="28" t="s">
        <v>58</v>
      </c>
      <c r="AL2" s="29" t="s">
        <v>59</v>
      </c>
      <c r="AM2" s="28" t="s">
        <v>60</v>
      </c>
      <c r="AN2" s="40" t="s">
        <v>61</v>
      </c>
      <c r="AO2" s="40" t="s">
        <v>62</v>
      </c>
      <c r="AP2" s="40" t="s">
        <v>63</v>
      </c>
      <c r="AQ2" s="40" t="s">
        <v>64</v>
      </c>
      <c r="AR2" s="40" t="s">
        <v>65</v>
      </c>
      <c r="AS2" s="40" t="s">
        <v>66</v>
      </c>
      <c r="AT2" s="40" t="s">
        <v>67</v>
      </c>
      <c r="AU2" s="40" t="s">
        <v>68</v>
      </c>
      <c r="AV2" s="40" t="s">
        <v>69</v>
      </c>
      <c r="AW2" s="41" t="s">
        <v>70</v>
      </c>
      <c r="AX2" s="40" t="s">
        <v>71</v>
      </c>
      <c r="AY2" s="5" t="s">
        <v>50</v>
      </c>
      <c r="AZ2" s="5" t="s">
        <v>51</v>
      </c>
      <c r="BA2" s="5" t="s">
        <v>72</v>
      </c>
      <c r="BB2" s="5" t="s">
        <v>53</v>
      </c>
      <c r="BC2" s="5" t="s">
        <v>54</v>
      </c>
      <c r="BD2" s="5" t="s">
        <v>73</v>
      </c>
      <c r="BE2" s="5" t="s">
        <v>31</v>
      </c>
      <c r="BF2" s="5" t="s">
        <v>32</v>
      </c>
      <c r="BG2" s="5" t="s">
        <v>74</v>
      </c>
      <c r="BH2" s="6" t="s">
        <v>75</v>
      </c>
      <c r="BI2" s="5" t="s">
        <v>76</v>
      </c>
      <c r="BJ2" s="12" t="s">
        <v>77</v>
      </c>
      <c r="BK2" s="12" t="s">
        <v>78</v>
      </c>
      <c r="BL2" s="12" t="s">
        <v>79</v>
      </c>
      <c r="BM2" s="12" t="s">
        <v>80</v>
      </c>
      <c r="BN2" s="12" t="s">
        <v>81</v>
      </c>
      <c r="BO2" s="12" t="s">
        <v>82</v>
      </c>
      <c r="BP2" s="12" t="s">
        <v>83</v>
      </c>
      <c r="BQ2" s="12" t="s">
        <v>84</v>
      </c>
      <c r="BR2" s="12" t="s">
        <v>85</v>
      </c>
      <c r="BS2" s="13" t="s">
        <v>86</v>
      </c>
      <c r="BT2" s="12" t="s">
        <v>87</v>
      </c>
      <c r="BU2" s="56" t="s">
        <v>88</v>
      </c>
      <c r="BV2" s="56" t="s">
        <v>89</v>
      </c>
      <c r="BW2" s="56" t="s">
        <v>53</v>
      </c>
      <c r="BX2" s="56" t="s">
        <v>54</v>
      </c>
      <c r="BY2" s="56" t="s">
        <v>90</v>
      </c>
      <c r="BZ2" s="64" t="s">
        <v>91</v>
      </c>
      <c r="CA2" s="64" t="s">
        <v>92</v>
      </c>
      <c r="CB2" s="64" t="s">
        <v>93</v>
      </c>
      <c r="CC2" s="64" t="s">
        <v>94</v>
      </c>
      <c r="CD2" s="64" t="s">
        <v>95</v>
      </c>
      <c r="CE2" s="76" t="s">
        <v>96</v>
      </c>
      <c r="CF2" s="72" t="s">
        <v>97</v>
      </c>
      <c r="CG2" s="72" t="s">
        <v>98</v>
      </c>
      <c r="CH2" s="72" t="s">
        <v>99</v>
      </c>
      <c r="CI2" s="72" t="s">
        <v>100</v>
      </c>
    </row>
    <row r="3" spans="1:89" ht="21" customHeight="1">
      <c r="A3" s="23">
        <v>4</v>
      </c>
      <c r="B3" s="23">
        <v>2025</v>
      </c>
      <c r="C3" s="23" t="s">
        <v>101</v>
      </c>
      <c r="D3" s="23" t="s">
        <v>102</v>
      </c>
      <c r="E3" s="23" t="s">
        <v>103</v>
      </c>
      <c r="F3" s="23" t="s">
        <v>104</v>
      </c>
      <c r="G3" s="23"/>
      <c r="H3" s="1">
        <v>491738</v>
      </c>
      <c r="I3" s="54" t="s">
        <v>105</v>
      </c>
      <c r="J3" s="1">
        <v>120228</v>
      </c>
      <c r="K3" s="1">
        <f>+J3*12</f>
        <v>1442736</v>
      </c>
      <c r="L3" s="24">
        <f t="shared" ref="L3:L8" si="0">+J3/H3</f>
        <v>0.24449605277607181</v>
      </c>
      <c r="M3" s="19">
        <v>610</v>
      </c>
      <c r="N3" s="2">
        <f>+M3*J3</f>
        <v>73339080</v>
      </c>
      <c r="O3" s="2">
        <f>+N3*12</f>
        <v>880068960</v>
      </c>
      <c r="P3" s="22">
        <v>0.59399999999999997</v>
      </c>
      <c r="Q3" s="1">
        <f>+(K3*P3)/1000</f>
        <v>856.985184</v>
      </c>
      <c r="R3" s="35">
        <v>12336</v>
      </c>
      <c r="S3" s="35">
        <f t="shared" ref="S3:S49" si="1">+R3*12</f>
        <v>148032</v>
      </c>
      <c r="T3" s="36">
        <v>3500</v>
      </c>
      <c r="U3" s="37">
        <f t="shared" ref="U3:U23" si="2">+T3*R3</f>
        <v>43176000</v>
      </c>
      <c r="V3" s="37">
        <f t="shared" ref="V3:V27" si="3">+U3*12</f>
        <v>518112000</v>
      </c>
      <c r="W3" s="38">
        <v>35652</v>
      </c>
      <c r="X3" s="35">
        <f>+R3*W3/3600</f>
        <v>122167.52</v>
      </c>
      <c r="Y3" s="35">
        <f t="shared" ref="Y3:Y53" si="4">+X3*12</f>
        <v>1466010.24</v>
      </c>
      <c r="Z3" s="37">
        <f t="shared" ref="Z3:Z34" si="5">IFERROR(V3/Y3,0)</f>
        <v>353.41635812857623</v>
      </c>
      <c r="AA3" s="61">
        <v>2.1907999999999999</v>
      </c>
      <c r="AB3" s="35">
        <f>+(S3*AA3)/1000</f>
        <v>324.30850559999999</v>
      </c>
      <c r="AC3" s="27"/>
      <c r="AD3" s="27">
        <f t="shared" ref="AD3:AD53" si="6">+AC3*12</f>
        <v>0</v>
      </c>
      <c r="AE3" s="30"/>
      <c r="AF3" s="31">
        <f t="shared" ref="AF3:AF37" si="7">+AE3*AC3</f>
        <v>0</v>
      </c>
      <c r="AG3" s="31">
        <f t="shared" ref="AG3:AG53" si="8">+AF3*12</f>
        <v>0</v>
      </c>
      <c r="AH3" s="33">
        <v>24.806330750000001</v>
      </c>
      <c r="AI3" s="27">
        <f>+AC3*AH3*1000000/3600</f>
        <v>0</v>
      </c>
      <c r="AJ3" s="27">
        <f t="shared" ref="AJ3:AJ35" si="9">+AI3*12</f>
        <v>0</v>
      </c>
      <c r="AK3" s="31">
        <f t="shared" ref="AK3:AK34" si="10">IFERROR(AG3/AJ3,0)</f>
        <v>0</v>
      </c>
      <c r="AL3" s="27">
        <v>2538.8139999999999</v>
      </c>
      <c r="AM3" s="27">
        <f>+(AD3*AL3)/1000</f>
        <v>0</v>
      </c>
      <c r="AN3" s="42">
        <v>0</v>
      </c>
      <c r="AO3" s="43">
        <f t="shared" ref="AO3:AO53" si="11">+AN3*12</f>
        <v>0</v>
      </c>
      <c r="AP3" s="43">
        <v>0</v>
      </c>
      <c r="AQ3" s="44">
        <f t="shared" ref="AQ3:AQ53" si="12">+AP3*AN3</f>
        <v>0</v>
      </c>
      <c r="AR3" s="44">
        <f t="shared" ref="AR3:AR53" si="13">+AQ3*12</f>
        <v>0</v>
      </c>
      <c r="AS3" s="45">
        <v>0</v>
      </c>
      <c r="AT3" s="42">
        <f t="shared" ref="AT3:AT53" si="14">+(AN3*AS3)/3.6</f>
        <v>0</v>
      </c>
      <c r="AU3" s="42">
        <f>+AT3*12</f>
        <v>0</v>
      </c>
      <c r="AV3" s="44">
        <f>IFERROR(AR3/AU3,0)</f>
        <v>0</v>
      </c>
      <c r="AW3" s="46">
        <v>10.178100000000001</v>
      </c>
      <c r="AX3" s="47">
        <f>+(AO3*AW3)/1000</f>
        <v>0</v>
      </c>
      <c r="AY3" s="7">
        <v>0</v>
      </c>
      <c r="AZ3" s="8">
        <f t="shared" ref="AZ3:AZ53" si="15">+AY3*12</f>
        <v>0</v>
      </c>
      <c r="BA3" s="8">
        <v>0</v>
      </c>
      <c r="BB3" s="9">
        <f t="shared" ref="BB3:BB53" si="16">+BA3*AY3</f>
        <v>0</v>
      </c>
      <c r="BC3" s="9">
        <f t="shared" ref="BC3:BC53" si="17">+BB3*12</f>
        <v>0</v>
      </c>
      <c r="BD3" s="10">
        <v>0</v>
      </c>
      <c r="BE3" s="7">
        <f>+AY3*BD3/3600*1000</f>
        <v>0</v>
      </c>
      <c r="BF3" s="7">
        <f t="shared" ref="BF3:BF53" si="18">+BE3*12</f>
        <v>0</v>
      </c>
      <c r="BG3" s="9">
        <f t="shared" ref="BG3:BG53" si="19">IFERROR(BC3/BF3,0)</f>
        <v>0</v>
      </c>
      <c r="BH3" s="11">
        <v>0</v>
      </c>
      <c r="BI3" s="11">
        <f t="shared" ref="BI3:BI53" si="20">+(AY3*BH3)/1000</f>
        <v>0</v>
      </c>
      <c r="BJ3" s="14">
        <v>0</v>
      </c>
      <c r="BK3" s="14">
        <f t="shared" ref="BK3:BK53" si="21">+BJ3*12</f>
        <v>0</v>
      </c>
      <c r="BL3" s="15">
        <v>0</v>
      </c>
      <c r="BM3" s="16">
        <f t="shared" ref="BM3:BM53" si="22">+BL3*BJ3</f>
        <v>0</v>
      </c>
      <c r="BN3" s="16">
        <f t="shared" ref="BN3:BN53" si="23">+BM3*12</f>
        <v>0</v>
      </c>
      <c r="BO3" s="17">
        <v>0</v>
      </c>
      <c r="BP3" s="14">
        <f t="shared" ref="BP3:BP53" si="24">+(BJ3*BO3)/3.6</f>
        <v>0</v>
      </c>
      <c r="BQ3" s="14">
        <f>+BK3*BO3/3.6</f>
        <v>0</v>
      </c>
      <c r="BR3" s="16">
        <f>IFERROR(BN3/BQ3,0)</f>
        <v>0</v>
      </c>
      <c r="BS3" s="18">
        <v>3.0512000000000001</v>
      </c>
      <c r="BT3" s="18">
        <f t="shared" ref="BT3:BT15" si="25">BS3/1000*BK3</f>
        <v>0</v>
      </c>
      <c r="BU3" s="57">
        <f>J3+X3+AI3+AT3+BE3+BP3</f>
        <v>242395.52000000002</v>
      </c>
      <c r="BV3" s="57">
        <f>+BU3*12</f>
        <v>2908746.24</v>
      </c>
      <c r="BW3" s="58">
        <f>N3+U3+AF3+AQ3+BB3+BM3</f>
        <v>116515080</v>
      </c>
      <c r="BX3" s="58">
        <f>+BW3*12</f>
        <v>1398180960</v>
      </c>
      <c r="BY3" s="57">
        <f>+Q3+AB3+AM3+AX3+BI3+BT3</f>
        <v>1181.2936896000001</v>
      </c>
      <c r="BZ3" s="68">
        <v>1.2E-2</v>
      </c>
      <c r="CA3" s="68" t="s">
        <v>106</v>
      </c>
      <c r="CB3" s="68">
        <v>0.111</v>
      </c>
      <c r="CC3" s="68" t="s">
        <v>106</v>
      </c>
      <c r="CD3" s="68" t="s">
        <v>106</v>
      </c>
      <c r="CE3" s="77" t="s">
        <v>106</v>
      </c>
      <c r="CF3" s="73">
        <f>+CG3/BV3</f>
        <v>5.9519911919164187E-3</v>
      </c>
      <c r="CG3" s="74">
        <f>IFERROR(BZ3*K3,0)+IFERROR(CA3*Y3,0)+IFERROR(CB3*AJ3,0)+IFERROR(CC3*AU3,0)+IFERROR(CD3*BF3,0)+IFERROR(CE3*BQ3,0)</f>
        <v>17312.832000000002</v>
      </c>
      <c r="CH3" s="75">
        <f>IFERROR(BZ3*O3,0)+IFERROR(CA3*V3,0)+IFERROR(CB3*AG3,0)+IFERROR(CC3*AR3,0)+IFERROR(CD3*BC3,0)+IFERROR(CE3*BN3,0)</f>
        <v>10560827.52</v>
      </c>
      <c r="CI3" s="74">
        <f>IFERROR(BZ3*Q3,0)+IFERROR(CA3*AB3,0)+IFERROR(CB3*AM3,0)+IFERROR(CC3*AX3,0)+IFERROR(CD3*BI3,0)+IFERROR(CE3*BT3,0)</f>
        <v>10.283822208</v>
      </c>
    </row>
    <row r="4" spans="1:89" ht="21" customHeight="1">
      <c r="A4" s="23">
        <v>3</v>
      </c>
      <c r="B4" s="23">
        <v>2021</v>
      </c>
      <c r="C4" s="23" t="s">
        <v>101</v>
      </c>
      <c r="D4" s="23" t="s">
        <v>107</v>
      </c>
      <c r="E4" s="23" t="s">
        <v>108</v>
      </c>
      <c r="F4" s="23" t="s">
        <v>109</v>
      </c>
      <c r="G4" s="23" t="s">
        <v>110</v>
      </c>
      <c r="H4" s="1">
        <v>2954138</v>
      </c>
      <c r="I4" s="54" t="s">
        <v>111</v>
      </c>
      <c r="J4" s="1">
        <v>71417</v>
      </c>
      <c r="K4" s="1">
        <f>+J4*12</f>
        <v>857004</v>
      </c>
      <c r="L4" s="24">
        <f t="shared" ref="L4" si="26">+J4/H4</f>
        <v>2.417524164409381E-2</v>
      </c>
      <c r="M4" s="19">
        <v>450</v>
      </c>
      <c r="N4" s="2">
        <f>+M4*J4</f>
        <v>32137650</v>
      </c>
      <c r="O4" s="2">
        <f>+N4*12</f>
        <v>385651800</v>
      </c>
      <c r="P4" s="22">
        <v>0.59399999999999997</v>
      </c>
      <c r="Q4" s="1">
        <f>+(K4*P4)/1000</f>
        <v>509.06037599999996</v>
      </c>
      <c r="R4" s="35">
        <v>0</v>
      </c>
      <c r="S4" s="35">
        <f t="shared" ref="S4" si="27">+R4*12</f>
        <v>0</v>
      </c>
      <c r="T4" s="36">
        <v>0</v>
      </c>
      <c r="U4" s="37">
        <f t="shared" ref="U4" si="28">+T4*R4</f>
        <v>0</v>
      </c>
      <c r="V4" s="37">
        <f t="shared" ref="V4" si="29">+U4*12</f>
        <v>0</v>
      </c>
      <c r="W4" s="38">
        <v>0</v>
      </c>
      <c r="X4" s="35">
        <f>+R4*W4/3600</f>
        <v>0</v>
      </c>
      <c r="Y4" s="35">
        <f t="shared" ref="Y4" si="30">+X4*12</f>
        <v>0</v>
      </c>
      <c r="Z4" s="37">
        <f t="shared" ref="Z4" si="31">IFERROR(V4/Y4,0)</f>
        <v>0</v>
      </c>
      <c r="AA4" s="61">
        <v>2.1907999999999999</v>
      </c>
      <c r="AB4" s="35">
        <f>+(S4*AA4)/1000</f>
        <v>0</v>
      </c>
      <c r="AC4" s="27">
        <v>256</v>
      </c>
      <c r="AD4" s="27">
        <f t="shared" ref="AD4" si="32">+AC4*12</f>
        <v>3072</v>
      </c>
      <c r="AE4" s="30">
        <v>300000</v>
      </c>
      <c r="AF4" s="31">
        <f>+AE4*AC4</f>
        <v>76800000</v>
      </c>
      <c r="AG4" s="31">
        <f>+AF4*12</f>
        <v>921600000</v>
      </c>
      <c r="AH4" s="33">
        <v>32.432429999999997</v>
      </c>
      <c r="AI4" s="27">
        <f>+AC4*AH4*1000000/3600</f>
        <v>2306306.1333333328</v>
      </c>
      <c r="AJ4" s="27">
        <f>+AI4*12</f>
        <v>27675673.599999994</v>
      </c>
      <c r="AK4" s="31">
        <f>IFERROR(AG4/AJ4,0)</f>
        <v>33.300002497500195</v>
      </c>
      <c r="AL4" s="27">
        <v>2538.8139999999999</v>
      </c>
      <c r="AM4" s="27">
        <f>+(AD4*AL4)/1000</f>
        <v>7799.2366079999993</v>
      </c>
      <c r="AN4" s="42">
        <v>0</v>
      </c>
      <c r="AO4" s="43">
        <f t="shared" ref="AO4" si="33">+AN4*12</f>
        <v>0</v>
      </c>
      <c r="AP4" s="43">
        <v>0</v>
      </c>
      <c r="AQ4" s="44">
        <f t="shared" ref="AQ4" si="34">+AP4*AN4</f>
        <v>0</v>
      </c>
      <c r="AR4" s="44">
        <f t="shared" ref="AR4" si="35">+AQ4*12</f>
        <v>0</v>
      </c>
      <c r="AS4" s="45">
        <v>0</v>
      </c>
      <c r="AT4" s="42">
        <f t="shared" ref="AT4" si="36">+(AN4*AS4)/3.6</f>
        <v>0</v>
      </c>
      <c r="AU4" s="42">
        <f>+AT4*12</f>
        <v>0</v>
      </c>
      <c r="AV4" s="44">
        <f>IFERROR(AR4/AU4,0)</f>
        <v>0</v>
      </c>
      <c r="AW4" s="46">
        <v>10.178100000000001</v>
      </c>
      <c r="AX4" s="47">
        <f>+(AO4*AW4)/1000</f>
        <v>0</v>
      </c>
      <c r="AY4" s="7">
        <v>0</v>
      </c>
      <c r="AZ4" s="8">
        <f t="shared" ref="AZ4" si="37">+AY4*12</f>
        <v>0</v>
      </c>
      <c r="BA4" s="8">
        <v>0</v>
      </c>
      <c r="BB4" s="9">
        <f t="shared" ref="BB4" si="38">+BA4*AY4</f>
        <v>0</v>
      </c>
      <c r="BC4" s="9">
        <f t="shared" ref="BC4" si="39">+BB4*12</f>
        <v>0</v>
      </c>
      <c r="BD4" s="10">
        <v>0</v>
      </c>
      <c r="BE4" s="7">
        <f t="shared" ref="BE4" si="40">+AY4*BD4/3600*1000</f>
        <v>0</v>
      </c>
      <c r="BF4" s="7">
        <f t="shared" ref="BF4" si="41">+BE4*12</f>
        <v>0</v>
      </c>
      <c r="BG4" s="9">
        <f t="shared" ref="BG4" si="42">IFERROR(BC4/BF4,0)</f>
        <v>0</v>
      </c>
      <c r="BH4" s="11">
        <v>0</v>
      </c>
      <c r="BI4" s="11">
        <f t="shared" ref="BI4" si="43">+(AY4*BH4)/1000</f>
        <v>0</v>
      </c>
      <c r="BJ4" s="14">
        <v>0</v>
      </c>
      <c r="BK4" s="14">
        <f t="shared" ref="BK4" si="44">+BJ4*12</f>
        <v>0</v>
      </c>
      <c r="BL4" s="15">
        <v>0</v>
      </c>
      <c r="BM4" s="16">
        <f t="shared" ref="BM4" si="45">+BL4*BJ4</f>
        <v>0</v>
      </c>
      <c r="BN4" s="16">
        <f t="shared" ref="BN4" si="46">+BM4*12</f>
        <v>0</v>
      </c>
      <c r="BO4" s="17">
        <v>0</v>
      </c>
      <c r="BP4" s="14">
        <f t="shared" ref="BP4" si="47">+(BJ4*BO4)/3.6</f>
        <v>0</v>
      </c>
      <c r="BQ4" s="14">
        <f t="shared" ref="BQ4:BQ53" si="48">+BK4*BO4/3.6</f>
        <v>0</v>
      </c>
      <c r="BR4" s="16">
        <f>IFERROR(BN4/BQ4,0)</f>
        <v>0</v>
      </c>
      <c r="BS4" s="18">
        <v>3.0512000000000001</v>
      </c>
      <c r="BT4" s="18">
        <f t="shared" si="25"/>
        <v>0</v>
      </c>
      <c r="BU4" s="57">
        <f>J4+X4+AI4+AT4+BE4+BP4</f>
        <v>2377723.1333333328</v>
      </c>
      <c r="BV4" s="57">
        <f>+BU4*12</f>
        <v>28532677.599999994</v>
      </c>
      <c r="BW4" s="58">
        <f>N4+U4+AF4+AQ4+BB4+BM4</f>
        <v>108937650</v>
      </c>
      <c r="BX4" s="58">
        <f>+BW4*12</f>
        <v>1307251800</v>
      </c>
      <c r="BY4" s="57">
        <f>+Q4+AB4+AM4+AX4+BI4+BT4</f>
        <v>8308.2969839999987</v>
      </c>
      <c r="BZ4" s="68">
        <v>1.2E-2</v>
      </c>
      <c r="CA4" s="68" t="s">
        <v>106</v>
      </c>
      <c r="CB4" s="68">
        <v>0.111</v>
      </c>
      <c r="CC4" s="68" t="s">
        <v>106</v>
      </c>
      <c r="CD4" s="68" t="s">
        <v>106</v>
      </c>
      <c r="CE4" s="77" t="s">
        <v>106</v>
      </c>
      <c r="CF4" s="73">
        <f>+CG4/BV4</f>
        <v>0.10802644815921517</v>
      </c>
      <c r="CG4" s="74">
        <f>IFERROR(BZ4*K4,0)+IFERROR(CA4*Y4,0)+IFERROR(CB4*AJ4,0)+IFERROR(CC4*AU4,0)+IFERROR(CD4*BF4,0)+IFERROR(CE4*BQ4,0)</f>
        <v>3082283.8175999993</v>
      </c>
      <c r="CH4" s="75">
        <f>IFERROR(BZ4*O4,0)+IFERROR(CA4*V4,0)+IFERROR(CB4*AG4,0)+IFERROR(CC4*AR4,0)+IFERROR(CD4*BC4,0)+IFERROR(CE4*BN4,0)</f>
        <v>106925421.59999999</v>
      </c>
      <c r="CI4" s="74">
        <f t="shared" ref="CI4" si="49">IFERROR(BZ4*Q4,0)+IFERROR(CA4*AB4,0)+IFERROR(CB4*AM4,0)+IFERROR(CC4*AX4,0)+IFERROR(CD4*BI4,0)+IFERROR(CE4*BT4,0)</f>
        <v>871.82398799999987</v>
      </c>
      <c r="CK4">
        <f>BU4/H4</f>
        <v>0.80487882872544647</v>
      </c>
    </row>
    <row r="5" spans="1:89" ht="21" customHeight="1">
      <c r="A5" s="23">
        <v>3</v>
      </c>
      <c r="B5" s="23">
        <v>2021</v>
      </c>
      <c r="C5" s="23" t="s">
        <v>101</v>
      </c>
      <c r="D5" s="23" t="s">
        <v>112</v>
      </c>
      <c r="E5" s="23" t="s">
        <v>113</v>
      </c>
      <c r="F5" s="23" t="s">
        <v>109</v>
      </c>
      <c r="G5" s="23" t="s">
        <v>110</v>
      </c>
      <c r="H5" s="1">
        <v>1540</v>
      </c>
      <c r="I5" s="55" t="s">
        <v>114</v>
      </c>
      <c r="J5" s="1">
        <v>120720</v>
      </c>
      <c r="K5" s="1">
        <f t="shared" ref="K5:K53" si="50">+J5*12</f>
        <v>1448640</v>
      </c>
      <c r="L5" s="24">
        <f t="shared" si="0"/>
        <v>78.389610389610397</v>
      </c>
      <c r="M5" s="19">
        <v>420</v>
      </c>
      <c r="N5" s="2">
        <f t="shared" ref="N5:N53" si="51">+M5*J5</f>
        <v>50702400</v>
      </c>
      <c r="O5" s="2">
        <f t="shared" ref="O5:O53" si="52">+N5*12</f>
        <v>608428800</v>
      </c>
      <c r="P5" s="3">
        <v>0.59399999999999997</v>
      </c>
      <c r="Q5" s="1">
        <f>+(K5*P5)/1000</f>
        <v>860.4921599999999</v>
      </c>
      <c r="R5" s="35">
        <v>0</v>
      </c>
      <c r="S5" s="35">
        <f t="shared" si="1"/>
        <v>0</v>
      </c>
      <c r="T5" s="36">
        <v>0</v>
      </c>
      <c r="U5" s="37">
        <f t="shared" si="2"/>
        <v>0</v>
      </c>
      <c r="V5" s="37">
        <f t="shared" si="3"/>
        <v>0</v>
      </c>
      <c r="W5" s="38">
        <v>0</v>
      </c>
      <c r="X5" s="35">
        <f t="shared" ref="X5:X24" si="53">+R5*W5/3600</f>
        <v>0</v>
      </c>
      <c r="Y5" s="35">
        <f t="shared" si="4"/>
        <v>0</v>
      </c>
      <c r="Z5" s="37">
        <f t="shared" si="5"/>
        <v>0</v>
      </c>
      <c r="AA5" s="61">
        <v>2.1907999999999999</v>
      </c>
      <c r="AB5" s="35">
        <f t="shared" ref="AB5:AB53" si="54">+(S5*AA5)/1000</f>
        <v>0</v>
      </c>
      <c r="AC5" s="27">
        <v>0</v>
      </c>
      <c r="AD5" s="27">
        <f t="shared" si="6"/>
        <v>0</v>
      </c>
      <c r="AE5" s="30">
        <v>0</v>
      </c>
      <c r="AF5" s="31">
        <f t="shared" si="7"/>
        <v>0</v>
      </c>
      <c r="AG5" s="31">
        <f t="shared" si="8"/>
        <v>0</v>
      </c>
      <c r="AH5" s="32">
        <v>0</v>
      </c>
      <c r="AI5" s="27">
        <f t="shared" ref="AI5:AI53" si="55">+AC5*AH5*1000000/3600</f>
        <v>0</v>
      </c>
      <c r="AJ5" s="27">
        <f t="shared" si="9"/>
        <v>0</v>
      </c>
      <c r="AK5" s="31">
        <f t="shared" si="10"/>
        <v>0</v>
      </c>
      <c r="AL5" s="27">
        <v>2538.8139999999999</v>
      </c>
      <c r="AM5" s="27">
        <f t="shared" ref="AM5:AM53" si="56">+(AD5*AL5)/1000</f>
        <v>0</v>
      </c>
      <c r="AN5" s="42">
        <v>0</v>
      </c>
      <c r="AO5" s="43">
        <f t="shared" si="11"/>
        <v>0</v>
      </c>
      <c r="AP5" s="43">
        <v>0</v>
      </c>
      <c r="AQ5" s="44">
        <f t="shared" si="12"/>
        <v>0</v>
      </c>
      <c r="AR5" s="44">
        <f t="shared" si="13"/>
        <v>0</v>
      </c>
      <c r="AS5" s="45">
        <v>0</v>
      </c>
      <c r="AT5" s="42">
        <f t="shared" si="14"/>
        <v>0</v>
      </c>
      <c r="AU5" s="42">
        <f t="shared" ref="AU5:AU53" si="57">+AT5*12</f>
        <v>0</v>
      </c>
      <c r="AV5" s="44">
        <f t="shared" ref="AV5:AV53" si="58">IFERROR(AR5/AU5,0)</f>
        <v>0</v>
      </c>
      <c r="AW5" s="46">
        <v>10.178100000000001</v>
      </c>
      <c r="AX5" s="47">
        <f t="shared" ref="AX5:AX53" si="59">+(AO5*AW5)/1000</f>
        <v>0</v>
      </c>
      <c r="AY5" s="7">
        <v>0</v>
      </c>
      <c r="AZ5" s="8">
        <f t="shared" si="15"/>
        <v>0</v>
      </c>
      <c r="BA5" s="8">
        <v>0</v>
      </c>
      <c r="BB5" s="9">
        <f t="shared" si="16"/>
        <v>0</v>
      </c>
      <c r="BC5" s="9">
        <f t="shared" si="17"/>
        <v>0</v>
      </c>
      <c r="BD5" s="10">
        <v>0</v>
      </c>
      <c r="BE5" s="7">
        <f t="shared" ref="BE5:BE10" si="60">+AY5*BD5/3600*1000</f>
        <v>0</v>
      </c>
      <c r="BF5" s="7">
        <f t="shared" si="18"/>
        <v>0</v>
      </c>
      <c r="BG5" s="9">
        <f t="shared" si="19"/>
        <v>0</v>
      </c>
      <c r="BH5" s="11">
        <v>0</v>
      </c>
      <c r="BI5" s="11">
        <f t="shared" si="20"/>
        <v>0</v>
      </c>
      <c r="BJ5" s="14">
        <v>0</v>
      </c>
      <c r="BK5" s="14">
        <f t="shared" si="21"/>
        <v>0</v>
      </c>
      <c r="BL5" s="15">
        <v>0</v>
      </c>
      <c r="BM5" s="16">
        <f t="shared" si="22"/>
        <v>0</v>
      </c>
      <c r="BN5" s="16">
        <f t="shared" si="23"/>
        <v>0</v>
      </c>
      <c r="BO5" s="17">
        <v>0</v>
      </c>
      <c r="BP5" s="14">
        <f t="shared" si="24"/>
        <v>0</v>
      </c>
      <c r="BQ5" s="14">
        <f t="shared" si="48"/>
        <v>0</v>
      </c>
      <c r="BR5" s="16">
        <f t="shared" ref="BR5:BR53" si="61">IFERROR(BN5/BQ5,0)</f>
        <v>0</v>
      </c>
      <c r="BS5" s="18">
        <v>3.0512000000000001</v>
      </c>
      <c r="BT5" s="18">
        <f t="shared" si="25"/>
        <v>0</v>
      </c>
      <c r="BU5" s="57">
        <f t="shared" ref="BU5:BU53" si="62">J5+X5+AI5+AT5+BE5+BP5</f>
        <v>120720</v>
      </c>
      <c r="BV5" s="57">
        <f t="shared" ref="BV5:BV53" si="63">+BU5*12</f>
        <v>1448640</v>
      </c>
      <c r="BW5" s="58">
        <f t="shared" ref="BW5:BW53" si="64">N5+U5+AF5+AQ5+BB5+BM5</f>
        <v>50702400</v>
      </c>
      <c r="BX5" s="58">
        <f t="shared" ref="BX5:BX53" si="65">+BW5*12</f>
        <v>608428800</v>
      </c>
      <c r="BY5" s="57">
        <f t="shared" ref="BY5:BY53" si="66">+Q5+AB5+AM5+AX5+BI5+BT5</f>
        <v>860.4921599999999</v>
      </c>
      <c r="BZ5" s="68">
        <v>0.13</v>
      </c>
      <c r="CA5" s="68" t="s">
        <v>106</v>
      </c>
      <c r="CB5" s="68" t="s">
        <v>106</v>
      </c>
      <c r="CC5" s="68" t="s">
        <v>106</v>
      </c>
      <c r="CD5" s="68" t="s">
        <v>106</v>
      </c>
      <c r="CE5" s="77" t="s">
        <v>106</v>
      </c>
      <c r="CF5" s="73">
        <f>+CG5/BV5</f>
        <v>0.13</v>
      </c>
      <c r="CG5" s="74">
        <f t="shared" ref="CG5:CG35" si="67">IFERROR(BZ5*K5,0)+IFERROR(CA5*Y5,0)+IFERROR(CB5*AJ5,0)+IFERROR(CC5*AU5,0)+IFERROR(CD5*BF5,0)+IFERROR(CE5*BQ5,0)</f>
        <v>188323.20000000001</v>
      </c>
      <c r="CH5" s="75">
        <f t="shared" ref="CH5:CH53" si="68">IFERROR(BZ5*O5,0)+IFERROR(CA5*V5,0)+IFERROR(CB5*AG5,0)+IFERROR(CC5*AR5,0)+IFERROR(CD5*BC5,0)+IFERROR(CE5*BN5,0)</f>
        <v>79095744</v>
      </c>
      <c r="CI5" s="74">
        <f t="shared" ref="CI5:CI35" si="69">IFERROR(BZ5*Q5,0)+IFERROR(CA5*AB5,0)+IFERROR(CB5*AM5,0)+IFERROR(CC5*AX5,0)+IFERROR(CD5*BI5,0)+IFERROR(CE5*BT5,0)</f>
        <v>111.86398079999999</v>
      </c>
      <c r="CJ5" s="83">
        <f>CH5/12</f>
        <v>6591312</v>
      </c>
      <c r="CK5">
        <f t="shared" ref="CK5:CK11" si="70">BU5/H5</f>
        <v>78.389610389610397</v>
      </c>
    </row>
    <row r="6" spans="1:89" ht="21" customHeight="1">
      <c r="A6" s="23">
        <v>3</v>
      </c>
      <c r="B6" s="23">
        <v>2021</v>
      </c>
      <c r="C6" s="23" t="s">
        <v>101</v>
      </c>
      <c r="D6" s="23" t="s">
        <v>115</v>
      </c>
      <c r="E6" s="23" t="s">
        <v>116</v>
      </c>
      <c r="F6" s="23" t="s">
        <v>104</v>
      </c>
      <c r="G6" s="23" t="s">
        <v>110</v>
      </c>
      <c r="H6" s="1">
        <v>6308</v>
      </c>
      <c r="I6" s="54" t="s">
        <v>117</v>
      </c>
      <c r="J6" s="1">
        <v>89028</v>
      </c>
      <c r="K6" s="1">
        <f t="shared" si="50"/>
        <v>1068336</v>
      </c>
      <c r="L6" s="24">
        <f t="shared" si="0"/>
        <v>14.113506658211795</v>
      </c>
      <c r="M6" s="19">
        <v>500</v>
      </c>
      <c r="N6" s="2">
        <f t="shared" si="51"/>
        <v>44514000</v>
      </c>
      <c r="O6" s="2">
        <f t="shared" si="52"/>
        <v>534168000</v>
      </c>
      <c r="P6" s="3">
        <v>0.59399999999999997</v>
      </c>
      <c r="Q6" s="1">
        <f t="shared" ref="Q6:Q53" si="71">+(K6*P6)/1000</f>
        <v>634.5915839999999</v>
      </c>
      <c r="R6" s="35">
        <v>0</v>
      </c>
      <c r="S6" s="35">
        <f t="shared" si="1"/>
        <v>0</v>
      </c>
      <c r="T6" s="36">
        <v>0</v>
      </c>
      <c r="U6" s="37">
        <f t="shared" si="2"/>
        <v>0</v>
      </c>
      <c r="V6" s="37">
        <f t="shared" si="3"/>
        <v>0</v>
      </c>
      <c r="W6" s="38">
        <v>0</v>
      </c>
      <c r="X6" s="35">
        <f t="shared" si="53"/>
        <v>0</v>
      </c>
      <c r="Y6" s="35">
        <f t="shared" si="4"/>
        <v>0</v>
      </c>
      <c r="Z6" s="37">
        <f t="shared" si="5"/>
        <v>0</v>
      </c>
      <c r="AA6" s="61">
        <v>2.1907999999999999</v>
      </c>
      <c r="AB6" s="35">
        <f t="shared" si="54"/>
        <v>0</v>
      </c>
      <c r="AC6" s="27">
        <v>0</v>
      </c>
      <c r="AD6" s="27">
        <f t="shared" si="6"/>
        <v>0</v>
      </c>
      <c r="AE6" s="30">
        <v>0</v>
      </c>
      <c r="AF6" s="31">
        <f t="shared" si="7"/>
        <v>0</v>
      </c>
      <c r="AG6" s="31">
        <f t="shared" si="8"/>
        <v>0</v>
      </c>
      <c r="AH6" s="32">
        <v>0</v>
      </c>
      <c r="AI6" s="27">
        <f t="shared" si="55"/>
        <v>0</v>
      </c>
      <c r="AJ6" s="27">
        <f t="shared" si="9"/>
        <v>0</v>
      </c>
      <c r="AK6" s="31">
        <f t="shared" si="10"/>
        <v>0</v>
      </c>
      <c r="AL6" s="27">
        <v>2538.8139999999999</v>
      </c>
      <c r="AM6" s="27">
        <f t="shared" si="56"/>
        <v>0</v>
      </c>
      <c r="AN6" s="42">
        <v>16534</v>
      </c>
      <c r="AO6" s="43">
        <f>+AN6*12</f>
        <v>198408</v>
      </c>
      <c r="AP6" s="43">
        <v>4000</v>
      </c>
      <c r="AQ6" s="44">
        <f>+AP6*AN6</f>
        <v>66136000</v>
      </c>
      <c r="AR6" s="44">
        <f>+AQ6*12</f>
        <v>793632000</v>
      </c>
      <c r="AS6" s="45">
        <v>128.66</v>
      </c>
      <c r="AT6" s="42">
        <f t="shared" si="14"/>
        <v>590906.7888888889</v>
      </c>
      <c r="AU6" s="42">
        <f>+AT6*12</f>
        <v>7090881.4666666668</v>
      </c>
      <c r="AV6" s="44">
        <f t="shared" si="58"/>
        <v>111.92289755945903</v>
      </c>
      <c r="AW6" s="46">
        <v>10.178100000000001</v>
      </c>
      <c r="AX6" s="42">
        <f>+(AO6*AW6)/1000</f>
        <v>2019.4164648000001</v>
      </c>
      <c r="AY6" s="7">
        <v>0</v>
      </c>
      <c r="AZ6" s="8">
        <f t="shared" si="15"/>
        <v>0</v>
      </c>
      <c r="BA6" s="8">
        <v>0</v>
      </c>
      <c r="BB6" s="9">
        <f t="shared" si="16"/>
        <v>0</v>
      </c>
      <c r="BC6" s="9">
        <f t="shared" si="17"/>
        <v>0</v>
      </c>
      <c r="BD6" s="10">
        <v>0</v>
      </c>
      <c r="BE6" s="7">
        <f t="shared" si="60"/>
        <v>0</v>
      </c>
      <c r="BF6" s="7">
        <f t="shared" si="18"/>
        <v>0</v>
      </c>
      <c r="BG6" s="9">
        <f t="shared" si="19"/>
        <v>0</v>
      </c>
      <c r="BH6" s="11">
        <v>0</v>
      </c>
      <c r="BI6" s="11">
        <f t="shared" si="20"/>
        <v>0</v>
      </c>
      <c r="BJ6" s="14">
        <v>0</v>
      </c>
      <c r="BK6" s="14">
        <f t="shared" si="21"/>
        <v>0</v>
      </c>
      <c r="BL6" s="15">
        <v>0</v>
      </c>
      <c r="BM6" s="16">
        <f t="shared" si="22"/>
        <v>0</v>
      </c>
      <c r="BN6" s="16">
        <f t="shared" si="23"/>
        <v>0</v>
      </c>
      <c r="BO6" s="17">
        <v>0</v>
      </c>
      <c r="BP6" s="14">
        <f t="shared" si="24"/>
        <v>0</v>
      </c>
      <c r="BQ6" s="14">
        <f t="shared" si="48"/>
        <v>0</v>
      </c>
      <c r="BR6" s="16">
        <f t="shared" si="61"/>
        <v>0</v>
      </c>
      <c r="BS6" s="18">
        <v>3.0512000000000001</v>
      </c>
      <c r="BT6" s="18">
        <f t="shared" si="25"/>
        <v>0</v>
      </c>
      <c r="BU6" s="57">
        <f t="shared" si="62"/>
        <v>679934.7888888889</v>
      </c>
      <c r="BV6" s="57">
        <f t="shared" si="63"/>
        <v>8159217.4666666668</v>
      </c>
      <c r="BW6" s="58">
        <f t="shared" si="64"/>
        <v>110650000</v>
      </c>
      <c r="BX6" s="58">
        <f t="shared" si="65"/>
        <v>1327800000</v>
      </c>
      <c r="BY6" s="57">
        <f>+Q6+AB6+AM6+AX6+BI6+BT6</f>
        <v>2654.0080487999999</v>
      </c>
      <c r="BZ6" s="68">
        <v>4.8300000000000003E-2</v>
      </c>
      <c r="CA6" s="68" t="s">
        <v>106</v>
      </c>
      <c r="CB6" s="68" t="s">
        <v>106</v>
      </c>
      <c r="CC6" s="68">
        <v>0.1087</v>
      </c>
      <c r="CD6" s="68" t="s">
        <v>106</v>
      </c>
      <c r="CE6" s="77" t="s">
        <v>106</v>
      </c>
      <c r="CF6" s="73">
        <f t="shared" ref="CF6:CF53" si="72">IFERROR(CG6/BV6,0)</f>
        <v>0.10079146040492022</v>
      </c>
      <c r="CG6" s="74">
        <f t="shared" si="67"/>
        <v>822379.44422666682</v>
      </c>
      <c r="CH6" s="75">
        <f t="shared" si="68"/>
        <v>112068112.80000001</v>
      </c>
      <c r="CI6" s="74">
        <f t="shared" si="69"/>
        <v>250.16134323096003</v>
      </c>
      <c r="CK6">
        <f t="shared" si="70"/>
        <v>107.78928168815614</v>
      </c>
    </row>
    <row r="7" spans="1:89" ht="21" customHeight="1">
      <c r="A7" s="23">
        <v>3</v>
      </c>
      <c r="B7" s="23">
        <v>2021</v>
      </c>
      <c r="C7" s="23" t="s">
        <v>101</v>
      </c>
      <c r="D7" s="23" t="s">
        <v>118</v>
      </c>
      <c r="E7" s="23" t="s">
        <v>108</v>
      </c>
      <c r="F7" s="23" t="s">
        <v>104</v>
      </c>
      <c r="G7" s="23" t="s">
        <v>110</v>
      </c>
      <c r="H7" s="1">
        <v>5598</v>
      </c>
      <c r="I7" s="54" t="s">
        <v>119</v>
      </c>
      <c r="J7" s="1">
        <v>14668</v>
      </c>
      <c r="K7" s="1">
        <f t="shared" si="50"/>
        <v>176016</v>
      </c>
      <c r="L7" s="24">
        <f>+J7/H7</f>
        <v>2.6202215076813147</v>
      </c>
      <c r="M7" s="19">
        <v>540</v>
      </c>
      <c r="N7" s="2">
        <f t="shared" si="51"/>
        <v>7920720</v>
      </c>
      <c r="O7" s="2">
        <f t="shared" si="52"/>
        <v>95048640</v>
      </c>
      <c r="P7" s="3">
        <v>0.59399999999999997</v>
      </c>
      <c r="Q7" s="1">
        <f t="shared" si="71"/>
        <v>104.553504</v>
      </c>
      <c r="R7" s="35">
        <v>0</v>
      </c>
      <c r="S7" s="35">
        <f t="shared" si="1"/>
        <v>0</v>
      </c>
      <c r="T7" s="36">
        <v>0</v>
      </c>
      <c r="U7" s="37">
        <f t="shared" si="2"/>
        <v>0</v>
      </c>
      <c r="V7" s="37">
        <f t="shared" si="3"/>
        <v>0</v>
      </c>
      <c r="W7" s="38">
        <v>0</v>
      </c>
      <c r="X7" s="35">
        <f t="shared" si="53"/>
        <v>0</v>
      </c>
      <c r="Y7" s="35">
        <f t="shared" si="4"/>
        <v>0</v>
      </c>
      <c r="Z7" s="37">
        <f t="shared" si="5"/>
        <v>0</v>
      </c>
      <c r="AA7" s="61">
        <v>2.1907999999999999</v>
      </c>
      <c r="AB7" s="35">
        <f t="shared" si="54"/>
        <v>0</v>
      </c>
      <c r="AC7" s="27">
        <v>0</v>
      </c>
      <c r="AD7" s="27">
        <f t="shared" si="6"/>
        <v>0</v>
      </c>
      <c r="AE7" s="30">
        <v>0</v>
      </c>
      <c r="AF7" s="31">
        <f t="shared" si="7"/>
        <v>0</v>
      </c>
      <c r="AG7" s="31">
        <f t="shared" si="8"/>
        <v>0</v>
      </c>
      <c r="AH7" s="32">
        <v>0</v>
      </c>
      <c r="AI7" s="27">
        <f t="shared" si="55"/>
        <v>0</v>
      </c>
      <c r="AJ7" s="27">
        <f t="shared" si="9"/>
        <v>0</v>
      </c>
      <c r="AK7" s="31">
        <f t="shared" si="10"/>
        <v>0</v>
      </c>
      <c r="AL7" s="27">
        <v>2538.8139999999999</v>
      </c>
      <c r="AM7" s="27">
        <f t="shared" si="56"/>
        <v>0</v>
      </c>
      <c r="AN7" s="42">
        <v>0</v>
      </c>
      <c r="AO7" s="43">
        <f t="shared" si="11"/>
        <v>0</v>
      </c>
      <c r="AP7" s="43">
        <v>0</v>
      </c>
      <c r="AQ7" s="44">
        <f t="shared" si="12"/>
        <v>0</v>
      </c>
      <c r="AR7" s="44">
        <f t="shared" si="13"/>
        <v>0</v>
      </c>
      <c r="AS7" s="45">
        <v>0</v>
      </c>
      <c r="AT7" s="42">
        <f t="shared" si="14"/>
        <v>0</v>
      </c>
      <c r="AU7" s="42">
        <f t="shared" si="57"/>
        <v>0</v>
      </c>
      <c r="AV7" s="44">
        <f t="shared" si="58"/>
        <v>0</v>
      </c>
      <c r="AW7" s="46">
        <v>10.178100000000001</v>
      </c>
      <c r="AX7" s="47">
        <f t="shared" si="59"/>
        <v>0</v>
      </c>
      <c r="AY7" s="7">
        <v>0</v>
      </c>
      <c r="AZ7" s="8">
        <f t="shared" si="15"/>
        <v>0</v>
      </c>
      <c r="BA7" s="8">
        <v>0</v>
      </c>
      <c r="BB7" s="9">
        <f t="shared" si="16"/>
        <v>0</v>
      </c>
      <c r="BC7" s="9">
        <f t="shared" si="17"/>
        <v>0</v>
      </c>
      <c r="BD7" s="10">
        <v>0</v>
      </c>
      <c r="BE7" s="7">
        <f t="shared" si="60"/>
        <v>0</v>
      </c>
      <c r="BF7" s="7">
        <f t="shared" si="18"/>
        <v>0</v>
      </c>
      <c r="BG7" s="9">
        <f t="shared" si="19"/>
        <v>0</v>
      </c>
      <c r="BH7" s="11">
        <v>0</v>
      </c>
      <c r="BI7" s="11">
        <f t="shared" si="20"/>
        <v>0</v>
      </c>
      <c r="BJ7" s="14">
        <v>0</v>
      </c>
      <c r="BK7" s="14">
        <f t="shared" si="21"/>
        <v>0</v>
      </c>
      <c r="BL7" s="15">
        <v>0</v>
      </c>
      <c r="BM7" s="16">
        <f t="shared" si="22"/>
        <v>0</v>
      </c>
      <c r="BN7" s="16">
        <f t="shared" si="23"/>
        <v>0</v>
      </c>
      <c r="BO7" s="17">
        <v>0</v>
      </c>
      <c r="BP7" s="14">
        <f t="shared" si="24"/>
        <v>0</v>
      </c>
      <c r="BQ7" s="14">
        <f t="shared" si="48"/>
        <v>0</v>
      </c>
      <c r="BR7" s="16">
        <f t="shared" si="61"/>
        <v>0</v>
      </c>
      <c r="BS7" s="18">
        <v>3.0512000000000001</v>
      </c>
      <c r="BT7" s="18">
        <f t="shared" si="25"/>
        <v>0</v>
      </c>
      <c r="BU7" s="57">
        <f t="shared" si="62"/>
        <v>14668</v>
      </c>
      <c r="BV7" s="57">
        <f t="shared" si="63"/>
        <v>176016</v>
      </c>
      <c r="BW7" s="58">
        <f t="shared" si="64"/>
        <v>7920720</v>
      </c>
      <c r="BX7" s="58">
        <f t="shared" si="65"/>
        <v>95048640</v>
      </c>
      <c r="BY7" s="57">
        <f t="shared" si="66"/>
        <v>104.553504</v>
      </c>
      <c r="BZ7" s="68">
        <v>8.72E-2</v>
      </c>
      <c r="CA7" s="68" t="s">
        <v>106</v>
      </c>
      <c r="CB7" s="68" t="s">
        <v>106</v>
      </c>
      <c r="CC7" s="68" t="s">
        <v>106</v>
      </c>
      <c r="CD7" s="68" t="s">
        <v>106</v>
      </c>
      <c r="CE7" s="77" t="s">
        <v>106</v>
      </c>
      <c r="CF7" s="73">
        <f t="shared" si="72"/>
        <v>8.72E-2</v>
      </c>
      <c r="CG7" s="74">
        <f t="shared" si="67"/>
        <v>15348.5952</v>
      </c>
      <c r="CH7" s="75">
        <f t="shared" si="68"/>
        <v>8288241.4079999998</v>
      </c>
      <c r="CI7" s="74">
        <f t="shared" si="69"/>
        <v>9.1170655487999994</v>
      </c>
      <c r="CK7">
        <f t="shared" si="70"/>
        <v>2.6202215076813147</v>
      </c>
    </row>
    <row r="8" spans="1:89" ht="21" customHeight="1">
      <c r="A8" s="23">
        <v>3</v>
      </c>
      <c r="B8" s="23">
        <v>2021</v>
      </c>
      <c r="C8" s="23" t="s">
        <v>101</v>
      </c>
      <c r="D8" s="23" t="s">
        <v>120</v>
      </c>
      <c r="E8" s="23" t="s">
        <v>116</v>
      </c>
      <c r="F8" s="23" t="s">
        <v>121</v>
      </c>
      <c r="G8" s="23" t="s">
        <v>110</v>
      </c>
      <c r="H8" s="1">
        <v>1301</v>
      </c>
      <c r="I8" s="54" t="s">
        <v>122</v>
      </c>
      <c r="J8" s="1">
        <v>22761</v>
      </c>
      <c r="K8" s="1">
        <f t="shared" si="50"/>
        <v>273132</v>
      </c>
      <c r="L8" s="24">
        <f t="shared" si="0"/>
        <v>17.495003843197541</v>
      </c>
      <c r="M8" s="19">
        <v>430</v>
      </c>
      <c r="N8" s="2">
        <f t="shared" si="51"/>
        <v>9787230</v>
      </c>
      <c r="O8" s="2">
        <f t="shared" si="52"/>
        <v>117446760</v>
      </c>
      <c r="P8" s="3">
        <v>0.59399999999999997</v>
      </c>
      <c r="Q8" s="1">
        <f t="shared" si="71"/>
        <v>162.240408</v>
      </c>
      <c r="R8" s="35">
        <v>13556</v>
      </c>
      <c r="S8" s="35">
        <f t="shared" si="1"/>
        <v>162672</v>
      </c>
      <c r="T8" s="37">
        <v>2579.42</v>
      </c>
      <c r="U8" s="37">
        <f>+T8*R8</f>
        <v>34966617.520000003</v>
      </c>
      <c r="V8" s="37">
        <f>+U8*12</f>
        <v>419599410.24000001</v>
      </c>
      <c r="W8" s="37">
        <v>43393.32</v>
      </c>
      <c r="X8" s="35">
        <f>+R8*W8/3600</f>
        <v>163399.95719999998</v>
      </c>
      <c r="Y8" s="35">
        <f>+X8*12</f>
        <v>1960799.4863999998</v>
      </c>
      <c r="Z8" s="37">
        <f>IFERROR(V8/Y8,0)</f>
        <v>213.99404332279718</v>
      </c>
      <c r="AA8" s="61">
        <v>2.4588999999999999</v>
      </c>
      <c r="AB8" s="35">
        <f t="shared" si="54"/>
        <v>399.99418079999998</v>
      </c>
      <c r="AC8" s="27">
        <v>0</v>
      </c>
      <c r="AD8" s="27">
        <f t="shared" si="6"/>
        <v>0</v>
      </c>
      <c r="AE8" s="30">
        <v>0</v>
      </c>
      <c r="AF8" s="31">
        <f t="shared" si="7"/>
        <v>0</v>
      </c>
      <c r="AG8" s="31">
        <f t="shared" si="8"/>
        <v>0</v>
      </c>
      <c r="AH8" s="32">
        <v>0</v>
      </c>
      <c r="AI8" s="27">
        <f t="shared" si="55"/>
        <v>0</v>
      </c>
      <c r="AJ8" s="27">
        <f t="shared" si="9"/>
        <v>0</v>
      </c>
      <c r="AK8" s="31">
        <f t="shared" si="10"/>
        <v>0</v>
      </c>
      <c r="AL8" s="27">
        <v>2538.8139999999999</v>
      </c>
      <c r="AM8" s="27">
        <f t="shared" si="56"/>
        <v>0</v>
      </c>
      <c r="AN8" s="42">
        <v>0</v>
      </c>
      <c r="AO8" s="43">
        <f t="shared" si="11"/>
        <v>0</v>
      </c>
      <c r="AP8" s="43">
        <v>0</v>
      </c>
      <c r="AQ8" s="44">
        <f t="shared" si="12"/>
        <v>0</v>
      </c>
      <c r="AR8" s="44">
        <f t="shared" si="13"/>
        <v>0</v>
      </c>
      <c r="AS8" s="45">
        <v>0</v>
      </c>
      <c r="AT8" s="42">
        <f t="shared" si="14"/>
        <v>0</v>
      </c>
      <c r="AU8" s="42">
        <f t="shared" si="57"/>
        <v>0</v>
      </c>
      <c r="AV8" s="44">
        <f t="shared" si="58"/>
        <v>0</v>
      </c>
      <c r="AW8" s="46">
        <v>10.178100000000001</v>
      </c>
      <c r="AX8" s="47">
        <f t="shared" si="59"/>
        <v>0</v>
      </c>
      <c r="AY8" s="7">
        <v>0</v>
      </c>
      <c r="AZ8" s="8">
        <f t="shared" si="15"/>
        <v>0</v>
      </c>
      <c r="BA8" s="8">
        <v>0</v>
      </c>
      <c r="BB8" s="9">
        <f t="shared" si="16"/>
        <v>0</v>
      </c>
      <c r="BC8" s="9">
        <f t="shared" si="17"/>
        <v>0</v>
      </c>
      <c r="BD8" s="10">
        <v>0</v>
      </c>
      <c r="BE8" s="7">
        <f t="shared" si="60"/>
        <v>0</v>
      </c>
      <c r="BF8" s="7">
        <f t="shared" si="18"/>
        <v>0</v>
      </c>
      <c r="BG8" s="9">
        <f t="shared" si="19"/>
        <v>0</v>
      </c>
      <c r="BH8" s="11">
        <v>0</v>
      </c>
      <c r="BI8" s="11">
        <f t="shared" si="20"/>
        <v>0</v>
      </c>
      <c r="BJ8" s="14">
        <v>0</v>
      </c>
      <c r="BK8" s="14">
        <f t="shared" si="21"/>
        <v>0</v>
      </c>
      <c r="BL8" s="15">
        <v>0</v>
      </c>
      <c r="BM8" s="16">
        <f t="shared" si="22"/>
        <v>0</v>
      </c>
      <c r="BN8" s="16">
        <f t="shared" si="23"/>
        <v>0</v>
      </c>
      <c r="BO8" s="17">
        <v>0</v>
      </c>
      <c r="BP8" s="14">
        <f t="shared" si="24"/>
        <v>0</v>
      </c>
      <c r="BQ8" s="14">
        <f t="shared" si="48"/>
        <v>0</v>
      </c>
      <c r="BR8" s="16">
        <f t="shared" si="61"/>
        <v>0</v>
      </c>
      <c r="BS8" s="18">
        <v>3.0512000000000001</v>
      </c>
      <c r="BT8" s="18">
        <f t="shared" si="25"/>
        <v>0</v>
      </c>
      <c r="BU8" s="57">
        <f>J8+X8+AI8+AT8+BE8+BP8</f>
        <v>186160.95719999998</v>
      </c>
      <c r="BV8" s="57">
        <f t="shared" si="63"/>
        <v>2233931.4863999998</v>
      </c>
      <c r="BW8" s="58">
        <f t="shared" si="64"/>
        <v>44753847.520000003</v>
      </c>
      <c r="BX8" s="58">
        <f t="shared" si="65"/>
        <v>537046170.24000001</v>
      </c>
      <c r="BY8" s="57">
        <f t="shared" si="66"/>
        <v>562.23458879999998</v>
      </c>
      <c r="BZ8" s="68">
        <v>0.12659999999999999</v>
      </c>
      <c r="CA8" s="68" t="s">
        <v>106</v>
      </c>
      <c r="CB8" s="68" t="s">
        <v>106</v>
      </c>
      <c r="CC8" s="68" t="s">
        <v>106</v>
      </c>
      <c r="CD8" s="68" t="s">
        <v>106</v>
      </c>
      <c r="CE8" s="77" t="s">
        <v>106</v>
      </c>
      <c r="CF8" s="73">
        <f>IFERROR(CG8/BV8,0)</f>
        <v>1.5478769787932741E-2</v>
      </c>
      <c r="CG8" s="74">
        <f t="shared" si="67"/>
        <v>34578.511200000001</v>
      </c>
      <c r="CH8" s="75">
        <f t="shared" si="68"/>
        <v>14868759.816</v>
      </c>
      <c r="CI8" s="74">
        <f t="shared" si="69"/>
        <v>20.539635652799998</v>
      </c>
      <c r="CK8">
        <f t="shared" si="70"/>
        <v>143.09066656418139</v>
      </c>
    </row>
    <row r="9" spans="1:89" ht="28.9" customHeight="1">
      <c r="A9" s="23">
        <v>3</v>
      </c>
      <c r="B9" s="23">
        <v>2021</v>
      </c>
      <c r="C9" s="23" t="s">
        <v>101</v>
      </c>
      <c r="D9" s="23" t="s">
        <v>123</v>
      </c>
      <c r="E9" s="25" t="s">
        <v>124</v>
      </c>
      <c r="F9" s="23" t="s">
        <v>121</v>
      </c>
      <c r="G9" s="23" t="s">
        <v>110</v>
      </c>
      <c r="H9" s="1">
        <v>9672.41</v>
      </c>
      <c r="I9" s="54" t="s">
        <v>125</v>
      </c>
      <c r="J9" s="1">
        <v>70969</v>
      </c>
      <c r="K9" s="1">
        <f t="shared" si="50"/>
        <v>851628</v>
      </c>
      <c r="L9" s="24">
        <f>+J9/H9</f>
        <v>7.337261344380563</v>
      </c>
      <c r="M9" s="19">
        <v>374</v>
      </c>
      <c r="N9" s="2">
        <f t="shared" si="51"/>
        <v>26542406</v>
      </c>
      <c r="O9" s="2">
        <f t="shared" si="52"/>
        <v>318508872</v>
      </c>
      <c r="P9" s="3">
        <v>0.59399999999999997</v>
      </c>
      <c r="Q9" s="1">
        <f t="shared" si="71"/>
        <v>505.86703199999994</v>
      </c>
      <c r="R9" s="35">
        <v>0</v>
      </c>
      <c r="S9" s="35">
        <f t="shared" si="1"/>
        <v>0</v>
      </c>
      <c r="T9" s="36">
        <v>0</v>
      </c>
      <c r="U9" s="37">
        <f t="shared" si="2"/>
        <v>0</v>
      </c>
      <c r="V9" s="37">
        <f t="shared" si="3"/>
        <v>0</v>
      </c>
      <c r="W9" s="38">
        <v>0</v>
      </c>
      <c r="X9" s="35">
        <f t="shared" si="53"/>
        <v>0</v>
      </c>
      <c r="Y9" s="35">
        <f t="shared" si="4"/>
        <v>0</v>
      </c>
      <c r="Z9" s="37">
        <f t="shared" si="5"/>
        <v>0</v>
      </c>
      <c r="AA9" s="61">
        <v>2.1907999999999999</v>
      </c>
      <c r="AB9" s="35">
        <f t="shared" si="54"/>
        <v>0</v>
      </c>
      <c r="AC9" s="27">
        <v>0</v>
      </c>
      <c r="AD9" s="27">
        <f t="shared" si="6"/>
        <v>0</v>
      </c>
      <c r="AE9" s="30">
        <v>0</v>
      </c>
      <c r="AF9" s="31">
        <f t="shared" si="7"/>
        <v>0</v>
      </c>
      <c r="AG9" s="31">
        <f t="shared" si="8"/>
        <v>0</v>
      </c>
      <c r="AH9" s="32">
        <v>0</v>
      </c>
      <c r="AI9" s="27">
        <f t="shared" si="55"/>
        <v>0</v>
      </c>
      <c r="AJ9" s="27">
        <f t="shared" si="9"/>
        <v>0</v>
      </c>
      <c r="AK9" s="31">
        <f t="shared" si="10"/>
        <v>0</v>
      </c>
      <c r="AL9" s="27">
        <v>2538.8139999999999</v>
      </c>
      <c r="AM9" s="27">
        <f t="shared" si="56"/>
        <v>0</v>
      </c>
      <c r="AN9" s="42">
        <v>0</v>
      </c>
      <c r="AO9" s="43">
        <f t="shared" si="11"/>
        <v>0</v>
      </c>
      <c r="AP9" s="43">
        <v>0</v>
      </c>
      <c r="AQ9" s="44">
        <f t="shared" si="12"/>
        <v>0</v>
      </c>
      <c r="AR9" s="44">
        <f t="shared" si="13"/>
        <v>0</v>
      </c>
      <c r="AS9" s="45">
        <v>0</v>
      </c>
      <c r="AT9" s="42">
        <f t="shared" si="14"/>
        <v>0</v>
      </c>
      <c r="AU9" s="42">
        <f t="shared" si="57"/>
        <v>0</v>
      </c>
      <c r="AV9" s="44">
        <f t="shared" si="58"/>
        <v>0</v>
      </c>
      <c r="AW9" s="46">
        <v>10.178100000000001</v>
      </c>
      <c r="AX9" s="47">
        <f t="shared" si="59"/>
        <v>0</v>
      </c>
      <c r="AY9" s="7">
        <v>0</v>
      </c>
      <c r="AZ9" s="8">
        <f t="shared" si="15"/>
        <v>0</v>
      </c>
      <c r="BA9" s="8">
        <v>0</v>
      </c>
      <c r="BB9" s="9">
        <f t="shared" si="16"/>
        <v>0</v>
      </c>
      <c r="BC9" s="9">
        <f t="shared" si="17"/>
        <v>0</v>
      </c>
      <c r="BD9" s="10">
        <v>0</v>
      </c>
      <c r="BE9" s="7">
        <f t="shared" si="60"/>
        <v>0</v>
      </c>
      <c r="BF9" s="7">
        <f t="shared" si="18"/>
        <v>0</v>
      </c>
      <c r="BG9" s="9">
        <f t="shared" si="19"/>
        <v>0</v>
      </c>
      <c r="BH9" s="11">
        <v>0</v>
      </c>
      <c r="BI9" s="11">
        <f t="shared" si="20"/>
        <v>0</v>
      </c>
      <c r="BJ9" s="14">
        <v>0</v>
      </c>
      <c r="BK9" s="14">
        <f t="shared" si="21"/>
        <v>0</v>
      </c>
      <c r="BL9" s="15">
        <v>0</v>
      </c>
      <c r="BM9" s="16">
        <f t="shared" si="22"/>
        <v>0</v>
      </c>
      <c r="BN9" s="16">
        <f t="shared" si="23"/>
        <v>0</v>
      </c>
      <c r="BO9" s="17">
        <v>0</v>
      </c>
      <c r="BP9" s="14">
        <f t="shared" si="24"/>
        <v>0</v>
      </c>
      <c r="BQ9" s="14">
        <f t="shared" si="48"/>
        <v>0</v>
      </c>
      <c r="BR9" s="16">
        <f t="shared" si="61"/>
        <v>0</v>
      </c>
      <c r="BS9" s="18">
        <v>3.0512000000000001</v>
      </c>
      <c r="BT9" s="18">
        <f t="shared" si="25"/>
        <v>0</v>
      </c>
      <c r="BU9" s="57">
        <f t="shared" si="62"/>
        <v>70969</v>
      </c>
      <c r="BV9" s="57">
        <f t="shared" si="63"/>
        <v>851628</v>
      </c>
      <c r="BW9" s="58">
        <f t="shared" si="64"/>
        <v>26542406</v>
      </c>
      <c r="BX9" s="58">
        <f t="shared" si="65"/>
        <v>318508872</v>
      </c>
      <c r="BY9" s="57">
        <f t="shared" si="66"/>
        <v>505.86703199999994</v>
      </c>
      <c r="BZ9" s="68">
        <v>9.4799999999999995E-2</v>
      </c>
      <c r="CA9" s="68" t="s">
        <v>106</v>
      </c>
      <c r="CB9" s="68" t="s">
        <v>106</v>
      </c>
      <c r="CC9" s="68" t="s">
        <v>106</v>
      </c>
      <c r="CD9" s="68" t="s">
        <v>106</v>
      </c>
      <c r="CE9" s="77" t="s">
        <v>106</v>
      </c>
      <c r="CF9" s="73">
        <f t="shared" si="72"/>
        <v>9.4799999999999995E-2</v>
      </c>
      <c r="CG9" s="74">
        <f>IFERROR(BZ9*K9,0)+IFERROR(CA9*Y9,0)+IFERROR(CB9*AJ9,0)+IFERROR(CC9*AU9,0)+IFERROR(CD9*BF9,0)+IFERROR(CE9*BQ9,0)</f>
        <v>80734.334399999992</v>
      </c>
      <c r="CH9" s="75">
        <f>IFERROR(BZ9*O9,0)+IFERROR(CA9*V9,0)+IFERROR(CB9*AG9,0)+IFERROR(CC9*AR9,0)+IFERROR(CD9*BC9,0)+IFERROR(CE9*BN9,0)</f>
        <v>30194641.0656</v>
      </c>
      <c r="CI9" s="74">
        <f t="shared" si="69"/>
        <v>47.956194633599992</v>
      </c>
      <c r="CJ9" s="83"/>
      <c r="CK9">
        <f t="shared" si="70"/>
        <v>7.337261344380563</v>
      </c>
    </row>
    <row r="10" spans="1:89" ht="21" customHeight="1">
      <c r="A10" s="23">
        <v>3</v>
      </c>
      <c r="B10" s="23">
        <v>2021</v>
      </c>
      <c r="C10" s="23" t="s">
        <v>101</v>
      </c>
      <c r="D10" s="23" t="s">
        <v>126</v>
      </c>
      <c r="E10" s="23" t="s">
        <v>127</v>
      </c>
      <c r="F10" s="23" t="s">
        <v>128</v>
      </c>
      <c r="G10" s="23" t="s">
        <v>110</v>
      </c>
      <c r="H10" s="1">
        <v>155755.51999999999</v>
      </c>
      <c r="I10" s="54" t="s">
        <v>129</v>
      </c>
      <c r="J10" s="82">
        <v>312549</v>
      </c>
      <c r="K10" s="1">
        <f t="shared" si="50"/>
        <v>3750588</v>
      </c>
      <c r="L10" s="24">
        <f t="shared" ref="L10:L53" si="73">+J10/H10</f>
        <v>2.006664033480162</v>
      </c>
      <c r="M10" s="19">
        <v>395.92</v>
      </c>
      <c r="N10" s="2">
        <f t="shared" si="51"/>
        <v>123744400.08</v>
      </c>
      <c r="O10" s="2">
        <f t="shared" si="52"/>
        <v>1484932800.96</v>
      </c>
      <c r="P10" s="3">
        <v>0.59399999999999997</v>
      </c>
      <c r="Q10" s="1">
        <f t="shared" si="71"/>
        <v>2227.8492719999999</v>
      </c>
      <c r="R10" s="35">
        <v>0</v>
      </c>
      <c r="S10" s="35">
        <f t="shared" si="1"/>
        <v>0</v>
      </c>
      <c r="T10" s="36">
        <v>0</v>
      </c>
      <c r="U10" s="37">
        <f t="shared" si="2"/>
        <v>0</v>
      </c>
      <c r="V10" s="37">
        <f t="shared" si="3"/>
        <v>0</v>
      </c>
      <c r="W10" s="38">
        <v>0</v>
      </c>
      <c r="X10" s="35">
        <f t="shared" si="53"/>
        <v>0</v>
      </c>
      <c r="Y10" s="35">
        <f t="shared" si="4"/>
        <v>0</v>
      </c>
      <c r="Z10" s="37">
        <f t="shared" si="5"/>
        <v>0</v>
      </c>
      <c r="AA10" s="61">
        <v>2.1907999999999999</v>
      </c>
      <c r="AB10" s="35">
        <f t="shared" si="54"/>
        <v>0</v>
      </c>
      <c r="AC10" s="27">
        <v>0</v>
      </c>
      <c r="AD10" s="27">
        <f t="shared" si="6"/>
        <v>0</v>
      </c>
      <c r="AE10" s="30">
        <v>0</v>
      </c>
      <c r="AF10" s="31">
        <f t="shared" si="7"/>
        <v>0</v>
      </c>
      <c r="AG10" s="31">
        <f t="shared" si="8"/>
        <v>0</v>
      </c>
      <c r="AH10" s="32">
        <v>0</v>
      </c>
      <c r="AI10" s="27">
        <f t="shared" si="55"/>
        <v>0</v>
      </c>
      <c r="AJ10" s="27">
        <f t="shared" si="9"/>
        <v>0</v>
      </c>
      <c r="AK10" s="31">
        <f t="shared" si="10"/>
        <v>0</v>
      </c>
      <c r="AL10" s="27">
        <v>2538.8139999999999</v>
      </c>
      <c r="AM10" s="27">
        <f t="shared" si="56"/>
        <v>0</v>
      </c>
      <c r="AN10" s="42">
        <v>0</v>
      </c>
      <c r="AO10" s="43">
        <f t="shared" si="11"/>
        <v>0</v>
      </c>
      <c r="AP10" s="43">
        <v>0</v>
      </c>
      <c r="AQ10" s="44">
        <f t="shared" si="12"/>
        <v>0</v>
      </c>
      <c r="AR10" s="44">
        <f t="shared" si="13"/>
        <v>0</v>
      </c>
      <c r="AS10" s="45">
        <v>0</v>
      </c>
      <c r="AT10" s="42">
        <f t="shared" si="14"/>
        <v>0</v>
      </c>
      <c r="AU10" s="42">
        <f t="shared" si="57"/>
        <v>0</v>
      </c>
      <c r="AV10" s="44">
        <f t="shared" si="58"/>
        <v>0</v>
      </c>
      <c r="AW10" s="46">
        <v>10.178100000000001</v>
      </c>
      <c r="AX10" s="47">
        <f t="shared" si="59"/>
        <v>0</v>
      </c>
      <c r="AY10" s="7">
        <v>0</v>
      </c>
      <c r="AZ10" s="8">
        <f t="shared" si="15"/>
        <v>0</v>
      </c>
      <c r="BA10" s="8">
        <v>0</v>
      </c>
      <c r="BB10" s="9">
        <f t="shared" si="16"/>
        <v>0</v>
      </c>
      <c r="BC10" s="9">
        <f t="shared" si="17"/>
        <v>0</v>
      </c>
      <c r="BD10" s="10">
        <v>0</v>
      </c>
      <c r="BE10" s="7">
        <f t="shared" si="60"/>
        <v>0</v>
      </c>
      <c r="BF10" s="7">
        <f t="shared" si="18"/>
        <v>0</v>
      </c>
      <c r="BG10" s="9">
        <f t="shared" si="19"/>
        <v>0</v>
      </c>
      <c r="BH10" s="11">
        <v>0</v>
      </c>
      <c r="BI10" s="11">
        <f t="shared" si="20"/>
        <v>0</v>
      </c>
      <c r="BJ10" s="14">
        <v>0</v>
      </c>
      <c r="BK10" s="14">
        <f t="shared" si="21"/>
        <v>0</v>
      </c>
      <c r="BL10" s="15">
        <v>0</v>
      </c>
      <c r="BM10" s="16">
        <f t="shared" si="22"/>
        <v>0</v>
      </c>
      <c r="BN10" s="16">
        <f t="shared" si="23"/>
        <v>0</v>
      </c>
      <c r="BO10" s="17">
        <v>0</v>
      </c>
      <c r="BP10" s="14">
        <f t="shared" si="24"/>
        <v>0</v>
      </c>
      <c r="BQ10" s="14">
        <f t="shared" si="48"/>
        <v>0</v>
      </c>
      <c r="BR10" s="16">
        <f t="shared" si="61"/>
        <v>0</v>
      </c>
      <c r="BS10" s="18">
        <v>3.0512000000000001</v>
      </c>
      <c r="BT10" s="18">
        <f t="shared" si="25"/>
        <v>0</v>
      </c>
      <c r="BU10" s="57">
        <f t="shared" si="62"/>
        <v>312549</v>
      </c>
      <c r="BV10" s="57">
        <f t="shared" si="63"/>
        <v>3750588</v>
      </c>
      <c r="BW10" s="58">
        <f t="shared" si="64"/>
        <v>123744400.08</v>
      </c>
      <c r="BX10" s="58">
        <f t="shared" si="65"/>
        <v>1484932800.96</v>
      </c>
      <c r="BY10" s="57">
        <f t="shared" si="66"/>
        <v>2227.8492719999999</v>
      </c>
      <c r="BZ10" s="68">
        <v>6.0600000000000001E-2</v>
      </c>
      <c r="CA10" s="68" t="s">
        <v>106</v>
      </c>
      <c r="CB10" s="68" t="s">
        <v>106</v>
      </c>
      <c r="CC10" s="68" t="s">
        <v>106</v>
      </c>
      <c r="CD10" s="68" t="s">
        <v>106</v>
      </c>
      <c r="CE10" s="77" t="s">
        <v>106</v>
      </c>
      <c r="CF10" s="73">
        <f t="shared" si="72"/>
        <v>6.0600000000000001E-2</v>
      </c>
      <c r="CG10" s="74">
        <f t="shared" si="67"/>
        <v>227285.63279999999</v>
      </c>
      <c r="CH10" s="75">
        <f t="shared" si="68"/>
        <v>89986927.738176003</v>
      </c>
      <c r="CI10" s="74">
        <f t="shared" si="69"/>
        <v>135.00766588319999</v>
      </c>
      <c r="CK10">
        <f t="shared" si="70"/>
        <v>2.006664033480162</v>
      </c>
    </row>
    <row r="11" spans="1:89" ht="21" customHeight="1">
      <c r="A11" s="23">
        <v>3</v>
      </c>
      <c r="B11" s="23">
        <v>2021</v>
      </c>
      <c r="C11" s="23" t="s">
        <v>101</v>
      </c>
      <c r="D11" s="23" t="s">
        <v>130</v>
      </c>
      <c r="E11" s="23" t="s">
        <v>131</v>
      </c>
      <c r="F11" s="23" t="s">
        <v>128</v>
      </c>
      <c r="G11" s="23" t="s">
        <v>110</v>
      </c>
      <c r="H11" s="1">
        <v>22609</v>
      </c>
      <c r="I11" s="54" t="s">
        <v>132</v>
      </c>
      <c r="J11" s="1">
        <v>323492</v>
      </c>
      <c r="K11" s="1">
        <f t="shared" si="50"/>
        <v>3881904</v>
      </c>
      <c r="L11" s="24">
        <f t="shared" si="73"/>
        <v>14.308107390862046</v>
      </c>
      <c r="M11" s="19">
        <v>493.11</v>
      </c>
      <c r="N11" s="2">
        <f t="shared" si="51"/>
        <v>159517140.12</v>
      </c>
      <c r="O11" s="2">
        <f t="shared" si="52"/>
        <v>1914205681.4400001</v>
      </c>
      <c r="P11" s="3">
        <v>0.59399999999999997</v>
      </c>
      <c r="Q11" s="1">
        <f t="shared" si="71"/>
        <v>2305.8509759999997</v>
      </c>
      <c r="R11" s="35">
        <v>0</v>
      </c>
      <c r="S11" s="35">
        <f t="shared" si="1"/>
        <v>0</v>
      </c>
      <c r="T11" s="36">
        <v>0</v>
      </c>
      <c r="U11" s="37">
        <f t="shared" si="2"/>
        <v>0</v>
      </c>
      <c r="V11" s="37">
        <f t="shared" si="3"/>
        <v>0</v>
      </c>
      <c r="W11" s="38">
        <v>0</v>
      </c>
      <c r="X11" s="35">
        <f t="shared" si="53"/>
        <v>0</v>
      </c>
      <c r="Y11" s="35">
        <f t="shared" si="4"/>
        <v>0</v>
      </c>
      <c r="Z11" s="37">
        <f t="shared" si="5"/>
        <v>0</v>
      </c>
      <c r="AA11" s="61">
        <v>2.1907999999999999</v>
      </c>
      <c r="AB11" s="35">
        <f t="shared" si="54"/>
        <v>0</v>
      </c>
      <c r="AC11" s="27">
        <v>0</v>
      </c>
      <c r="AD11" s="27">
        <f t="shared" si="6"/>
        <v>0</v>
      </c>
      <c r="AE11" s="30">
        <v>0</v>
      </c>
      <c r="AF11" s="31">
        <f t="shared" si="7"/>
        <v>0</v>
      </c>
      <c r="AG11" s="31">
        <f t="shared" si="8"/>
        <v>0</v>
      </c>
      <c r="AH11" s="32">
        <v>0</v>
      </c>
      <c r="AI11" s="27">
        <f t="shared" si="55"/>
        <v>0</v>
      </c>
      <c r="AJ11" s="27">
        <f t="shared" si="9"/>
        <v>0</v>
      </c>
      <c r="AK11" s="31">
        <f t="shared" si="10"/>
        <v>0</v>
      </c>
      <c r="AL11" s="27">
        <v>2538.8139999999999</v>
      </c>
      <c r="AM11" s="27">
        <f t="shared" si="56"/>
        <v>0</v>
      </c>
      <c r="AN11" s="42">
        <v>0</v>
      </c>
      <c r="AO11" s="43">
        <f t="shared" si="11"/>
        <v>0</v>
      </c>
      <c r="AP11" s="43">
        <v>0</v>
      </c>
      <c r="AQ11" s="44">
        <f t="shared" si="12"/>
        <v>0</v>
      </c>
      <c r="AR11" s="44">
        <f t="shared" si="13"/>
        <v>0</v>
      </c>
      <c r="AS11" s="45">
        <v>0</v>
      </c>
      <c r="AT11" s="42">
        <f t="shared" si="14"/>
        <v>0</v>
      </c>
      <c r="AU11" s="42">
        <f t="shared" si="57"/>
        <v>0</v>
      </c>
      <c r="AV11" s="44">
        <f t="shared" si="58"/>
        <v>0</v>
      </c>
      <c r="AW11" s="46">
        <v>10.178100000000001</v>
      </c>
      <c r="AX11" s="47">
        <f t="shared" si="59"/>
        <v>0</v>
      </c>
      <c r="AY11" s="79">
        <f>BE11*3.6/(BD11*1000)</f>
        <v>342.07872068242921</v>
      </c>
      <c r="AZ11" s="8">
        <f>+AY11*12</f>
        <v>4104.94464818915</v>
      </c>
      <c r="BA11" s="65">
        <v>0</v>
      </c>
      <c r="BB11" s="70">
        <f>+BA11*AY11</f>
        <v>0</v>
      </c>
      <c r="BC11" s="66">
        <f>+BB11*12</f>
        <v>0</v>
      </c>
      <c r="BD11" s="80">
        <v>14.510999999999999</v>
      </c>
      <c r="BE11" s="7">
        <f>4704874*1000/3412.142</f>
        <v>1378862.3099507582</v>
      </c>
      <c r="BF11" s="7">
        <f>+BE11*12</f>
        <v>16546347.719409099</v>
      </c>
      <c r="BG11" s="66">
        <f>IFERROR(BC11/BF11,0)</f>
        <v>0</v>
      </c>
      <c r="BH11" s="63">
        <v>0</v>
      </c>
      <c r="BI11" s="11">
        <f>+(AY11*BH11)/1000</f>
        <v>0</v>
      </c>
      <c r="BJ11" s="14">
        <v>0</v>
      </c>
      <c r="BK11" s="14">
        <f t="shared" si="21"/>
        <v>0</v>
      </c>
      <c r="BL11" s="15">
        <v>0</v>
      </c>
      <c r="BM11" s="16">
        <f t="shared" si="22"/>
        <v>0</v>
      </c>
      <c r="BN11" s="16">
        <f t="shared" si="23"/>
        <v>0</v>
      </c>
      <c r="BO11" s="17">
        <v>0</v>
      </c>
      <c r="BP11" s="14">
        <f t="shared" si="24"/>
        <v>0</v>
      </c>
      <c r="BQ11" s="14">
        <f t="shared" si="48"/>
        <v>0</v>
      </c>
      <c r="BR11" s="16">
        <f t="shared" si="61"/>
        <v>0</v>
      </c>
      <c r="BS11" s="18">
        <v>3.0512000000000001</v>
      </c>
      <c r="BT11" s="18">
        <f t="shared" si="25"/>
        <v>0</v>
      </c>
      <c r="BU11" s="57">
        <f>J11+X11+AI11+AT11+BE11+BP11</f>
        <v>1702354.3099507582</v>
      </c>
      <c r="BV11" s="57">
        <f>+BU11*12</f>
        <v>20428251.719409101</v>
      </c>
      <c r="BW11" s="58">
        <f t="shared" si="64"/>
        <v>159517140.12</v>
      </c>
      <c r="BX11" s="58">
        <f t="shared" si="65"/>
        <v>1914205681.4400001</v>
      </c>
      <c r="BY11" s="57">
        <f t="shared" si="66"/>
        <v>2305.8509759999997</v>
      </c>
      <c r="BZ11" s="68">
        <v>6.2199999999999998E-2</v>
      </c>
      <c r="CA11" s="68" t="s">
        <v>106</v>
      </c>
      <c r="CB11" s="68" t="s">
        <v>106</v>
      </c>
      <c r="CC11" s="68" t="s">
        <v>106</v>
      </c>
      <c r="CD11" s="69" t="s">
        <v>106</v>
      </c>
      <c r="CE11" s="77" t="s">
        <v>106</v>
      </c>
      <c r="CF11" s="73">
        <f t="shared" si="72"/>
        <v>1.1819632542054079E-2</v>
      </c>
      <c r="CG11" s="74">
        <f t="shared" si="67"/>
        <v>241454.42879999999</v>
      </c>
      <c r="CH11" s="75">
        <f t="shared" si="68"/>
        <v>119063593.38556801</v>
      </c>
      <c r="CI11" s="74">
        <f t="shared" si="69"/>
        <v>143.42393070719999</v>
      </c>
      <c r="CK11">
        <f t="shared" si="70"/>
        <v>75.295427040150301</v>
      </c>
    </row>
    <row r="12" spans="1:89" ht="21" customHeight="1">
      <c r="A12" s="23">
        <v>3</v>
      </c>
      <c r="B12" s="23">
        <v>2021</v>
      </c>
      <c r="C12" s="23" t="s">
        <v>101</v>
      </c>
      <c r="D12" s="23" t="s">
        <v>133</v>
      </c>
      <c r="E12" s="23" t="s">
        <v>127</v>
      </c>
      <c r="F12" s="23" t="s">
        <v>134</v>
      </c>
      <c r="G12" s="23" t="s">
        <v>110</v>
      </c>
      <c r="H12" s="1">
        <v>473.95</v>
      </c>
      <c r="I12" s="54" t="s">
        <v>135</v>
      </c>
      <c r="J12" s="1">
        <v>306432</v>
      </c>
      <c r="K12" s="1">
        <f t="shared" si="50"/>
        <v>3677184</v>
      </c>
      <c r="L12" s="24">
        <f t="shared" si="73"/>
        <v>646.54921405211519</v>
      </c>
      <c r="M12" s="19">
        <v>305</v>
      </c>
      <c r="N12" s="2">
        <f t="shared" si="51"/>
        <v>93461760</v>
      </c>
      <c r="O12" s="2">
        <f t="shared" si="52"/>
        <v>1121541120</v>
      </c>
      <c r="P12" s="3">
        <v>0.59399999999999997</v>
      </c>
      <c r="Q12" s="1">
        <f t="shared" si="71"/>
        <v>2184.247296</v>
      </c>
      <c r="R12" s="35">
        <v>0</v>
      </c>
      <c r="S12" s="35">
        <f t="shared" si="1"/>
        <v>0</v>
      </c>
      <c r="T12" s="36">
        <v>0</v>
      </c>
      <c r="U12" s="37">
        <f t="shared" si="2"/>
        <v>0</v>
      </c>
      <c r="V12" s="37">
        <f t="shared" si="3"/>
        <v>0</v>
      </c>
      <c r="W12" s="38">
        <v>0</v>
      </c>
      <c r="X12" s="35">
        <f t="shared" si="53"/>
        <v>0</v>
      </c>
      <c r="Y12" s="35">
        <f t="shared" si="4"/>
        <v>0</v>
      </c>
      <c r="Z12" s="37">
        <f t="shared" si="5"/>
        <v>0</v>
      </c>
      <c r="AA12" s="61">
        <v>2.1907999999999999</v>
      </c>
      <c r="AB12" s="35">
        <f>+(S12*AA12)/1000</f>
        <v>0</v>
      </c>
      <c r="AC12" s="27">
        <v>0</v>
      </c>
      <c r="AD12" s="27">
        <f t="shared" si="6"/>
        <v>0</v>
      </c>
      <c r="AE12" s="30">
        <v>0</v>
      </c>
      <c r="AF12" s="31">
        <f t="shared" si="7"/>
        <v>0</v>
      </c>
      <c r="AG12" s="31">
        <f t="shared" si="8"/>
        <v>0</v>
      </c>
      <c r="AH12" s="32">
        <v>0</v>
      </c>
      <c r="AI12" s="27">
        <f t="shared" si="55"/>
        <v>0</v>
      </c>
      <c r="AJ12" s="27">
        <f t="shared" si="9"/>
        <v>0</v>
      </c>
      <c r="AK12" s="31">
        <f t="shared" si="10"/>
        <v>0</v>
      </c>
      <c r="AL12" s="27">
        <v>2538.8139999999999</v>
      </c>
      <c r="AM12" s="27">
        <f t="shared" si="56"/>
        <v>0</v>
      </c>
      <c r="AN12" s="42">
        <v>0</v>
      </c>
      <c r="AO12" s="43">
        <f t="shared" si="11"/>
        <v>0</v>
      </c>
      <c r="AP12" s="43">
        <v>0</v>
      </c>
      <c r="AQ12" s="44">
        <f t="shared" si="12"/>
        <v>0</v>
      </c>
      <c r="AR12" s="44">
        <f t="shared" si="13"/>
        <v>0</v>
      </c>
      <c r="AS12" s="45">
        <v>0</v>
      </c>
      <c r="AT12" s="42">
        <f t="shared" si="14"/>
        <v>0</v>
      </c>
      <c r="AU12" s="42">
        <f t="shared" si="57"/>
        <v>0</v>
      </c>
      <c r="AV12" s="44">
        <f t="shared" si="58"/>
        <v>0</v>
      </c>
      <c r="AW12" s="46">
        <v>10.178100000000001</v>
      </c>
      <c r="AX12" s="47">
        <f t="shared" si="59"/>
        <v>0</v>
      </c>
      <c r="AY12" s="7">
        <v>0</v>
      </c>
      <c r="AZ12" s="8">
        <f t="shared" si="15"/>
        <v>0</v>
      </c>
      <c r="BA12" s="8">
        <v>0</v>
      </c>
      <c r="BB12" s="9">
        <f t="shared" si="16"/>
        <v>0</v>
      </c>
      <c r="BC12" s="9">
        <f t="shared" si="17"/>
        <v>0</v>
      </c>
      <c r="BD12" s="80">
        <v>0</v>
      </c>
      <c r="BE12" s="7">
        <f t="shared" ref="BE12:BE53" si="74">+AY12*BD12/3600*1000</f>
        <v>0</v>
      </c>
      <c r="BF12" s="7">
        <f t="shared" si="18"/>
        <v>0</v>
      </c>
      <c r="BG12" s="9">
        <f t="shared" si="19"/>
        <v>0</v>
      </c>
      <c r="BH12" s="11">
        <v>0</v>
      </c>
      <c r="BI12" s="11">
        <f t="shared" si="20"/>
        <v>0</v>
      </c>
      <c r="BJ12" s="14">
        <v>0</v>
      </c>
      <c r="BK12" s="14">
        <f t="shared" si="21"/>
        <v>0</v>
      </c>
      <c r="BL12" s="15">
        <v>0</v>
      </c>
      <c r="BM12" s="16">
        <f t="shared" si="22"/>
        <v>0</v>
      </c>
      <c r="BN12" s="16">
        <f t="shared" si="23"/>
        <v>0</v>
      </c>
      <c r="BO12" s="17">
        <v>0</v>
      </c>
      <c r="BP12" s="14">
        <f t="shared" si="24"/>
        <v>0</v>
      </c>
      <c r="BQ12" s="14">
        <f t="shared" si="48"/>
        <v>0</v>
      </c>
      <c r="BR12" s="16">
        <f t="shared" si="61"/>
        <v>0</v>
      </c>
      <c r="BS12" s="18">
        <v>3.0512000000000001</v>
      </c>
      <c r="BT12" s="18">
        <f t="shared" si="25"/>
        <v>0</v>
      </c>
      <c r="BU12" s="57">
        <f t="shared" si="62"/>
        <v>306432</v>
      </c>
      <c r="BV12" s="57">
        <f t="shared" si="63"/>
        <v>3677184</v>
      </c>
      <c r="BW12" s="58">
        <f t="shared" si="64"/>
        <v>93461760</v>
      </c>
      <c r="BX12" s="58">
        <f t="shared" si="65"/>
        <v>1121541120</v>
      </c>
      <c r="BY12" s="57">
        <f t="shared" si="66"/>
        <v>2184.247296</v>
      </c>
      <c r="BZ12" s="68">
        <v>3.7000000000000002E-3</v>
      </c>
      <c r="CA12" s="69" t="s">
        <v>106</v>
      </c>
      <c r="CB12" s="68" t="s">
        <v>106</v>
      </c>
      <c r="CC12" s="68" t="s">
        <v>106</v>
      </c>
      <c r="CD12" s="68" t="s">
        <v>106</v>
      </c>
      <c r="CE12" s="77" t="s">
        <v>106</v>
      </c>
      <c r="CF12" s="73">
        <f t="shared" si="72"/>
        <v>3.6999999999999997E-3</v>
      </c>
      <c r="CG12" s="74">
        <f t="shared" si="67"/>
        <v>13605.5808</v>
      </c>
      <c r="CH12" s="75">
        <f t="shared" si="68"/>
        <v>4149702.1440000003</v>
      </c>
      <c r="CI12" s="74">
        <f t="shared" si="69"/>
        <v>8.0817149952000005</v>
      </c>
    </row>
    <row r="13" spans="1:89" ht="21" customHeight="1">
      <c r="A13" s="92">
        <v>3</v>
      </c>
      <c r="B13" s="92">
        <v>2021</v>
      </c>
      <c r="C13" s="92" t="s">
        <v>101</v>
      </c>
      <c r="D13" s="92" t="s">
        <v>136</v>
      </c>
      <c r="E13" s="92" t="s">
        <v>127</v>
      </c>
      <c r="F13" s="92" t="s">
        <v>134</v>
      </c>
      <c r="G13" s="92" t="s">
        <v>110</v>
      </c>
      <c r="H13" s="93">
        <v>16.63</v>
      </c>
      <c r="I13" s="94" t="s">
        <v>137</v>
      </c>
      <c r="J13" s="93">
        <v>45922</v>
      </c>
      <c r="K13" s="93">
        <f t="shared" si="50"/>
        <v>551064</v>
      </c>
      <c r="L13" s="95">
        <f>+J13/H13</f>
        <v>2761.395069152135</v>
      </c>
      <c r="M13" s="204">
        <v>400</v>
      </c>
      <c r="N13" s="205">
        <f t="shared" si="51"/>
        <v>18368800</v>
      </c>
      <c r="O13" s="205">
        <f t="shared" si="52"/>
        <v>220425600</v>
      </c>
      <c r="P13" s="206">
        <v>0.59399999999999997</v>
      </c>
      <c r="Q13" s="93">
        <f t="shared" si="71"/>
        <v>327.33201600000001</v>
      </c>
      <c r="R13" s="99">
        <v>0</v>
      </c>
      <c r="S13" s="99">
        <f t="shared" si="1"/>
        <v>0</v>
      </c>
      <c r="T13" s="207">
        <v>0</v>
      </c>
      <c r="U13" s="208">
        <f t="shared" si="2"/>
        <v>0</v>
      </c>
      <c r="V13" s="208">
        <f t="shared" si="3"/>
        <v>0</v>
      </c>
      <c r="W13" s="212">
        <v>0</v>
      </c>
      <c r="X13" s="99">
        <f t="shared" si="53"/>
        <v>0</v>
      </c>
      <c r="Y13" s="99">
        <f t="shared" si="4"/>
        <v>0</v>
      </c>
      <c r="Z13" s="208">
        <f t="shared" si="5"/>
        <v>0</v>
      </c>
      <c r="AA13" s="209">
        <v>2.1907999999999999</v>
      </c>
      <c r="AB13" s="99">
        <f t="shared" si="54"/>
        <v>0</v>
      </c>
      <c r="AC13" s="103">
        <v>0</v>
      </c>
      <c r="AD13" s="103">
        <f t="shared" si="6"/>
        <v>0</v>
      </c>
      <c r="AE13" s="104">
        <v>0</v>
      </c>
      <c r="AF13" s="105">
        <f t="shared" si="7"/>
        <v>0</v>
      </c>
      <c r="AG13" s="105">
        <f t="shared" si="8"/>
        <v>0</v>
      </c>
      <c r="AH13" s="106">
        <v>0</v>
      </c>
      <c r="AI13" s="103">
        <f t="shared" si="55"/>
        <v>0</v>
      </c>
      <c r="AJ13" s="103">
        <f t="shared" si="9"/>
        <v>0</v>
      </c>
      <c r="AK13" s="105">
        <f t="shared" si="10"/>
        <v>0</v>
      </c>
      <c r="AL13" s="103">
        <v>2538.8139999999999</v>
      </c>
      <c r="AM13" s="103">
        <f t="shared" si="56"/>
        <v>0</v>
      </c>
      <c r="AN13" s="107">
        <v>0</v>
      </c>
      <c r="AO13" s="108">
        <f t="shared" si="11"/>
        <v>0</v>
      </c>
      <c r="AP13" s="108">
        <v>0</v>
      </c>
      <c r="AQ13" s="109">
        <f t="shared" si="12"/>
        <v>0</v>
      </c>
      <c r="AR13" s="109">
        <f t="shared" si="13"/>
        <v>0</v>
      </c>
      <c r="AS13" s="110">
        <v>0</v>
      </c>
      <c r="AT13" s="107">
        <f t="shared" si="14"/>
        <v>0</v>
      </c>
      <c r="AU13" s="107">
        <f t="shared" si="57"/>
        <v>0</v>
      </c>
      <c r="AV13" s="109">
        <f t="shared" si="58"/>
        <v>0</v>
      </c>
      <c r="AW13" s="111">
        <v>10.178100000000001</v>
      </c>
      <c r="AX13" s="112">
        <f t="shared" si="59"/>
        <v>0</v>
      </c>
      <c r="AY13" s="113">
        <v>0</v>
      </c>
      <c r="AZ13" s="114">
        <f t="shared" si="15"/>
        <v>0</v>
      </c>
      <c r="BA13" s="114">
        <v>0</v>
      </c>
      <c r="BB13" s="115">
        <f t="shared" si="16"/>
        <v>0</v>
      </c>
      <c r="BC13" s="115">
        <f t="shared" si="17"/>
        <v>0</v>
      </c>
      <c r="BD13" s="228">
        <v>0</v>
      </c>
      <c r="BE13" s="113">
        <f t="shared" si="74"/>
        <v>0</v>
      </c>
      <c r="BF13" s="113">
        <f t="shared" si="18"/>
        <v>0</v>
      </c>
      <c r="BG13" s="115">
        <f t="shared" si="19"/>
        <v>0</v>
      </c>
      <c r="BH13" s="117">
        <v>0</v>
      </c>
      <c r="BI13" s="117">
        <f t="shared" si="20"/>
        <v>0</v>
      </c>
      <c r="BJ13" s="118">
        <v>0</v>
      </c>
      <c r="BK13" s="118">
        <f t="shared" si="21"/>
        <v>0</v>
      </c>
      <c r="BL13" s="119">
        <v>0</v>
      </c>
      <c r="BM13" s="120">
        <f t="shared" si="22"/>
        <v>0</v>
      </c>
      <c r="BN13" s="120">
        <f t="shared" si="23"/>
        <v>0</v>
      </c>
      <c r="BO13" s="121">
        <v>0</v>
      </c>
      <c r="BP13" s="118">
        <f t="shared" si="24"/>
        <v>0</v>
      </c>
      <c r="BQ13" s="118">
        <f t="shared" si="48"/>
        <v>0</v>
      </c>
      <c r="BR13" s="120">
        <f t="shared" si="61"/>
        <v>0</v>
      </c>
      <c r="BS13" s="122">
        <v>3.0512000000000001</v>
      </c>
      <c r="BT13" s="122">
        <f t="shared" si="25"/>
        <v>0</v>
      </c>
      <c r="BU13" s="123">
        <f t="shared" si="62"/>
        <v>45922</v>
      </c>
      <c r="BV13" s="123">
        <f t="shared" si="63"/>
        <v>551064</v>
      </c>
      <c r="BW13" s="124">
        <f t="shared" si="64"/>
        <v>18368800</v>
      </c>
      <c r="BX13" s="124">
        <f t="shared" si="65"/>
        <v>220425600</v>
      </c>
      <c r="BY13" s="123">
        <f t="shared" si="66"/>
        <v>327.33201600000001</v>
      </c>
      <c r="BZ13" s="125">
        <v>0.17519999999999999</v>
      </c>
      <c r="CA13" s="213" t="s">
        <v>106</v>
      </c>
      <c r="CB13" s="125" t="s">
        <v>106</v>
      </c>
      <c r="CC13" s="125" t="s">
        <v>106</v>
      </c>
      <c r="CD13" s="125" t="s">
        <v>106</v>
      </c>
      <c r="CE13" s="126" t="s">
        <v>106</v>
      </c>
      <c r="CF13" s="127">
        <f t="shared" si="72"/>
        <v>0.17519999999999999</v>
      </c>
      <c r="CG13" s="128">
        <f t="shared" si="67"/>
        <v>96546.412799999991</v>
      </c>
      <c r="CH13" s="129">
        <f t="shared" si="68"/>
        <v>38618565.119999997</v>
      </c>
      <c r="CI13" s="128">
        <f t="shared" si="69"/>
        <v>57.3485692032</v>
      </c>
    </row>
    <row r="14" spans="1:89" ht="21" customHeight="1">
      <c r="A14" s="92">
        <v>3</v>
      </c>
      <c r="B14" s="92">
        <v>2021</v>
      </c>
      <c r="C14" s="92" t="s">
        <v>138</v>
      </c>
      <c r="D14" s="92" t="s">
        <v>139</v>
      </c>
      <c r="E14" s="92" t="s">
        <v>127</v>
      </c>
      <c r="F14" s="92" t="s">
        <v>106</v>
      </c>
      <c r="G14" s="92" t="s">
        <v>110</v>
      </c>
      <c r="H14" s="93">
        <v>32573.22</v>
      </c>
      <c r="I14" s="94" t="s">
        <v>140</v>
      </c>
      <c r="J14" s="93">
        <v>79469.440000000002</v>
      </c>
      <c r="K14" s="93">
        <f t="shared" si="50"/>
        <v>953633.28000000003</v>
      </c>
      <c r="L14" s="95">
        <f t="shared" si="73"/>
        <v>2.4397170436327755</v>
      </c>
      <c r="M14" s="204">
        <v>415</v>
      </c>
      <c r="N14" s="205">
        <f t="shared" si="51"/>
        <v>32979817.600000001</v>
      </c>
      <c r="O14" s="205">
        <f t="shared" si="52"/>
        <v>395757811.20000005</v>
      </c>
      <c r="P14" s="206">
        <v>0.59399999999999997</v>
      </c>
      <c r="Q14" s="93">
        <f t="shared" si="71"/>
        <v>566.45816831999991</v>
      </c>
      <c r="R14" s="99">
        <v>0</v>
      </c>
      <c r="S14" s="99">
        <f t="shared" si="1"/>
        <v>0</v>
      </c>
      <c r="T14" s="208">
        <v>0</v>
      </c>
      <c r="U14" s="208">
        <f t="shared" si="2"/>
        <v>0</v>
      </c>
      <c r="V14" s="208">
        <f t="shared" si="3"/>
        <v>0</v>
      </c>
      <c r="W14" s="212">
        <v>0</v>
      </c>
      <c r="X14" s="99">
        <f t="shared" si="53"/>
        <v>0</v>
      </c>
      <c r="Y14" s="99">
        <f t="shared" si="4"/>
        <v>0</v>
      </c>
      <c r="Z14" s="208">
        <f t="shared" si="5"/>
        <v>0</v>
      </c>
      <c r="AA14" s="209">
        <v>2.1907999999999999</v>
      </c>
      <c r="AB14" s="99">
        <f t="shared" si="54"/>
        <v>0</v>
      </c>
      <c r="AC14" s="231">
        <v>60.177079999999997</v>
      </c>
      <c r="AD14" s="103">
        <f t="shared" si="6"/>
        <v>722.12495999999999</v>
      </c>
      <c r="AE14" s="105">
        <v>360000</v>
      </c>
      <c r="AF14" s="105">
        <f>+AE14*AC14</f>
        <v>21663748.799999997</v>
      </c>
      <c r="AG14" s="105">
        <f>+AF14*12</f>
        <v>259964985.59999996</v>
      </c>
      <c r="AH14" s="106">
        <v>27.563099999999999</v>
      </c>
      <c r="AI14" s="103">
        <f>+AC14*AH14*1000000/3600</f>
        <v>460740.79826333321</v>
      </c>
      <c r="AJ14" s="103">
        <f t="shared" si="9"/>
        <v>5528889.5791599983</v>
      </c>
      <c r="AK14" s="105">
        <f>IFERROR(AG14/AJ14,0)</f>
        <v>47.019384612035665</v>
      </c>
      <c r="AL14" s="103">
        <v>2538.8139999999999</v>
      </c>
      <c r="AM14" s="103">
        <f t="shared" si="56"/>
        <v>1833.3409581974397</v>
      </c>
      <c r="AN14" s="107">
        <v>0</v>
      </c>
      <c r="AO14" s="109">
        <f t="shared" si="11"/>
        <v>0</v>
      </c>
      <c r="AP14" s="109">
        <v>0</v>
      </c>
      <c r="AQ14" s="109">
        <f t="shared" si="12"/>
        <v>0</v>
      </c>
      <c r="AR14" s="109">
        <f t="shared" si="13"/>
        <v>0</v>
      </c>
      <c r="AS14" s="110">
        <v>0</v>
      </c>
      <c r="AT14" s="107">
        <f t="shared" si="14"/>
        <v>0</v>
      </c>
      <c r="AU14" s="107">
        <f t="shared" si="57"/>
        <v>0</v>
      </c>
      <c r="AV14" s="109">
        <f t="shared" si="58"/>
        <v>0</v>
      </c>
      <c r="AW14" s="111">
        <v>10.178100000000001</v>
      </c>
      <c r="AX14" s="112">
        <f t="shared" si="59"/>
        <v>0</v>
      </c>
      <c r="AY14" s="113">
        <v>0</v>
      </c>
      <c r="AZ14" s="115">
        <f t="shared" si="15"/>
        <v>0</v>
      </c>
      <c r="BA14" s="115">
        <v>0</v>
      </c>
      <c r="BB14" s="115">
        <f t="shared" si="16"/>
        <v>0</v>
      </c>
      <c r="BC14" s="115">
        <f t="shared" si="17"/>
        <v>0</v>
      </c>
      <c r="BD14" s="228">
        <v>0</v>
      </c>
      <c r="BE14" s="113">
        <f t="shared" si="74"/>
        <v>0</v>
      </c>
      <c r="BF14" s="113">
        <f t="shared" si="18"/>
        <v>0</v>
      </c>
      <c r="BG14" s="115">
        <f t="shared" si="19"/>
        <v>0</v>
      </c>
      <c r="BH14" s="117">
        <v>0</v>
      </c>
      <c r="BI14" s="117">
        <f t="shared" si="20"/>
        <v>0</v>
      </c>
      <c r="BJ14" s="118">
        <v>0</v>
      </c>
      <c r="BK14" s="118">
        <f t="shared" si="21"/>
        <v>0</v>
      </c>
      <c r="BL14" s="120">
        <v>0</v>
      </c>
      <c r="BM14" s="120">
        <f t="shared" si="22"/>
        <v>0</v>
      </c>
      <c r="BN14" s="120">
        <f t="shared" si="23"/>
        <v>0</v>
      </c>
      <c r="BO14" s="121">
        <v>0</v>
      </c>
      <c r="BP14" s="118">
        <f t="shared" si="24"/>
        <v>0</v>
      </c>
      <c r="BQ14" s="118">
        <f t="shared" si="48"/>
        <v>0</v>
      </c>
      <c r="BR14" s="120">
        <f t="shared" si="61"/>
        <v>0</v>
      </c>
      <c r="BS14" s="122">
        <v>3.0512000000000001</v>
      </c>
      <c r="BT14" s="122">
        <f t="shared" si="25"/>
        <v>0</v>
      </c>
      <c r="BU14" s="123">
        <f t="shared" si="62"/>
        <v>540210.23826333322</v>
      </c>
      <c r="BV14" s="123">
        <f t="shared" si="63"/>
        <v>6482522.8591599986</v>
      </c>
      <c r="BW14" s="124">
        <f t="shared" si="64"/>
        <v>54643566.399999999</v>
      </c>
      <c r="BX14" s="124">
        <f t="shared" si="65"/>
        <v>655722796.79999995</v>
      </c>
      <c r="BY14" s="123">
        <f t="shared" si="66"/>
        <v>2399.7991265174396</v>
      </c>
      <c r="BZ14" s="125">
        <v>9.357E-2</v>
      </c>
      <c r="CA14" s="125" t="s">
        <v>106</v>
      </c>
      <c r="CB14" s="125">
        <v>7.1989999999999998E-2</v>
      </c>
      <c r="CC14" s="125" t="s">
        <v>106</v>
      </c>
      <c r="CD14" s="125" t="s">
        <v>106</v>
      </c>
      <c r="CE14" s="125" t="s">
        <v>106</v>
      </c>
      <c r="CF14" s="127">
        <f t="shared" si="72"/>
        <v>7.5164598320670878E-2</v>
      </c>
      <c r="CG14" s="128">
        <f t="shared" si="67"/>
        <v>487256.22681332822</v>
      </c>
      <c r="CH14" s="129">
        <f>IFERROR(BZ14*O14,0)+IFERROR(CA14*V14,0)+IFERROR(CB14*AG14,0)+IFERROR(CC14*AR14,0)+IFERROR(CD14*BC14,0)+IFERROR(CE14*BN14,0)</f>
        <v>55745937.707328007</v>
      </c>
      <c r="CI14" s="128">
        <f t="shared" si="69"/>
        <v>184.98570639033608</v>
      </c>
    </row>
    <row r="15" spans="1:89" ht="21" customHeight="1">
      <c r="A15" s="92">
        <v>3</v>
      </c>
      <c r="B15" s="92">
        <v>2021</v>
      </c>
      <c r="C15" s="92" t="s">
        <v>138</v>
      </c>
      <c r="D15" s="92" t="s">
        <v>141</v>
      </c>
      <c r="E15" s="92" t="s">
        <v>108</v>
      </c>
      <c r="F15" s="92" t="s">
        <v>142</v>
      </c>
      <c r="G15" s="92" t="s">
        <v>110</v>
      </c>
      <c r="H15" s="93">
        <v>3164.99</v>
      </c>
      <c r="I15" s="94" t="s">
        <v>143</v>
      </c>
      <c r="J15" s="93">
        <v>1202777.78</v>
      </c>
      <c r="K15" s="93">
        <f t="shared" si="50"/>
        <v>14433333.359999999</v>
      </c>
      <c r="L15" s="95">
        <f t="shared" si="73"/>
        <v>380.02577575284602</v>
      </c>
      <c r="M15" s="204">
        <v>521.61</v>
      </c>
      <c r="N15" s="205">
        <f t="shared" si="51"/>
        <v>627380917.82580006</v>
      </c>
      <c r="O15" s="205">
        <f t="shared" si="52"/>
        <v>7528571013.9096012</v>
      </c>
      <c r="P15" s="206">
        <v>0.59399999999999997</v>
      </c>
      <c r="Q15" s="93">
        <f t="shared" si="71"/>
        <v>8573.4000158399995</v>
      </c>
      <c r="R15" s="99">
        <v>308406.55</v>
      </c>
      <c r="S15" s="99">
        <f t="shared" si="1"/>
        <v>3700878.5999999996</v>
      </c>
      <c r="T15" s="208">
        <v>1072.0899999999999</v>
      </c>
      <c r="U15" s="208">
        <f>+T15*R15</f>
        <v>330639578.18949997</v>
      </c>
      <c r="V15" s="208">
        <f>+U15*12</f>
        <v>3967674938.2739997</v>
      </c>
      <c r="W15" s="212">
        <v>42476</v>
      </c>
      <c r="X15" s="99">
        <f t="shared" si="53"/>
        <v>3638854.6160555552</v>
      </c>
      <c r="Y15" s="99">
        <f t="shared" si="4"/>
        <v>43666255.39266666</v>
      </c>
      <c r="Z15" s="208">
        <f t="shared" si="5"/>
        <v>90.863640644128452</v>
      </c>
      <c r="AA15" s="209">
        <v>2.1907999999999999</v>
      </c>
      <c r="AB15" s="99">
        <f t="shared" si="54"/>
        <v>8107.8848368799981</v>
      </c>
      <c r="AC15" s="103">
        <v>0</v>
      </c>
      <c r="AD15" s="103">
        <f t="shared" si="6"/>
        <v>0</v>
      </c>
      <c r="AE15" s="105">
        <v>0</v>
      </c>
      <c r="AF15" s="105">
        <f t="shared" si="7"/>
        <v>0</v>
      </c>
      <c r="AG15" s="105">
        <f t="shared" si="8"/>
        <v>0</v>
      </c>
      <c r="AH15" s="106">
        <v>0</v>
      </c>
      <c r="AI15" s="103">
        <f t="shared" si="55"/>
        <v>0</v>
      </c>
      <c r="AJ15" s="103">
        <f t="shared" si="9"/>
        <v>0</v>
      </c>
      <c r="AK15" s="105">
        <f t="shared" si="10"/>
        <v>0</v>
      </c>
      <c r="AL15" s="103">
        <v>2538.8139999999999</v>
      </c>
      <c r="AM15" s="103">
        <f t="shared" si="56"/>
        <v>0</v>
      </c>
      <c r="AN15" s="107">
        <v>0</v>
      </c>
      <c r="AO15" s="109">
        <f t="shared" si="11"/>
        <v>0</v>
      </c>
      <c r="AP15" s="109">
        <v>0</v>
      </c>
      <c r="AQ15" s="109">
        <f t="shared" si="12"/>
        <v>0</v>
      </c>
      <c r="AR15" s="109">
        <f t="shared" si="13"/>
        <v>0</v>
      </c>
      <c r="AS15" s="110">
        <v>0</v>
      </c>
      <c r="AT15" s="107">
        <f t="shared" si="14"/>
        <v>0</v>
      </c>
      <c r="AU15" s="107">
        <f t="shared" si="57"/>
        <v>0</v>
      </c>
      <c r="AV15" s="109">
        <f t="shared" si="58"/>
        <v>0</v>
      </c>
      <c r="AW15" s="111">
        <v>10.178100000000001</v>
      </c>
      <c r="AX15" s="112">
        <f t="shared" si="59"/>
        <v>0</v>
      </c>
      <c r="AY15" s="113">
        <v>0</v>
      </c>
      <c r="AZ15" s="115">
        <f t="shared" si="15"/>
        <v>0</v>
      </c>
      <c r="BA15" s="115">
        <v>0</v>
      </c>
      <c r="BB15" s="115">
        <f t="shared" si="16"/>
        <v>0</v>
      </c>
      <c r="BC15" s="115">
        <f t="shared" si="17"/>
        <v>0</v>
      </c>
      <c r="BD15" s="228">
        <v>0</v>
      </c>
      <c r="BE15" s="113">
        <f t="shared" si="74"/>
        <v>0</v>
      </c>
      <c r="BF15" s="113">
        <f t="shared" si="18"/>
        <v>0</v>
      </c>
      <c r="BG15" s="115">
        <f t="shared" si="19"/>
        <v>0</v>
      </c>
      <c r="BH15" s="117">
        <v>0</v>
      </c>
      <c r="BI15" s="117">
        <f t="shared" si="20"/>
        <v>0</v>
      </c>
      <c r="BJ15" s="118">
        <v>0</v>
      </c>
      <c r="BK15" s="118">
        <f t="shared" si="21"/>
        <v>0</v>
      </c>
      <c r="BL15" s="120">
        <v>0</v>
      </c>
      <c r="BM15" s="120">
        <f t="shared" si="22"/>
        <v>0</v>
      </c>
      <c r="BN15" s="120">
        <f t="shared" si="23"/>
        <v>0</v>
      </c>
      <c r="BO15" s="121">
        <v>0</v>
      </c>
      <c r="BP15" s="118">
        <f t="shared" si="24"/>
        <v>0</v>
      </c>
      <c r="BQ15" s="118">
        <f t="shared" si="48"/>
        <v>0</v>
      </c>
      <c r="BR15" s="120">
        <f t="shared" si="61"/>
        <v>0</v>
      </c>
      <c r="BS15" s="122">
        <v>3.0512000000000001</v>
      </c>
      <c r="BT15" s="122">
        <f t="shared" si="25"/>
        <v>0</v>
      </c>
      <c r="BU15" s="123">
        <f t="shared" si="62"/>
        <v>4841632.396055555</v>
      </c>
      <c r="BV15" s="123">
        <f t="shared" si="63"/>
        <v>58099588.75266666</v>
      </c>
      <c r="BW15" s="124">
        <f t="shared" si="64"/>
        <v>958020496.01530004</v>
      </c>
      <c r="BX15" s="124">
        <f t="shared" si="65"/>
        <v>11496245952.183601</v>
      </c>
      <c r="BY15" s="123">
        <f t="shared" si="66"/>
        <v>16681.284852719997</v>
      </c>
      <c r="BZ15" s="125">
        <v>5.9811700000000002E-2</v>
      </c>
      <c r="CA15" s="125">
        <v>8.1361299999999998E-2</v>
      </c>
      <c r="CB15" s="125" t="s">
        <v>106</v>
      </c>
      <c r="CC15" s="125" t="s">
        <v>106</v>
      </c>
      <c r="CD15" s="125" t="s">
        <v>106</v>
      </c>
      <c r="CE15" s="125" t="s">
        <v>106</v>
      </c>
      <c r="CF15" s="127">
        <f t="shared" si="72"/>
        <v>7.6007861752807923E-2</v>
      </c>
      <c r="CG15" s="128">
        <f>IFERROR(BZ15*K15,0)+IFERROR(CA15*Y15,0)+IFERROR(CB15*AJ15,0)+IFERROR(CC15*AU15,0)+IFERROR(CD15*BF15,0)+IFERROR(CE15*BQ15,0)</f>
        <v>4416025.5098076817</v>
      </c>
      <c r="CH15" s="129">
        <f t="shared" ref="CH15:CH16" si="75">IFERROR(BZ15*O15,0)+IFERROR(CA15*V15,0)+IFERROR(CB15*AG15,0)+IFERROR(CC15*AR15,0)+IFERROR(CD15*BC15,0)+IFERROR(CE15*BN15,0)</f>
        <v>773111821.86804926</v>
      </c>
      <c r="CI15" s="128">
        <f t="shared" si="69"/>
        <v>1172.4576803062619</v>
      </c>
    </row>
    <row r="16" spans="1:89" ht="21" customHeight="1">
      <c r="A16" s="92">
        <v>3</v>
      </c>
      <c r="B16" s="92">
        <v>2021</v>
      </c>
      <c r="C16" s="92" t="s">
        <v>138</v>
      </c>
      <c r="D16" s="92" t="s">
        <v>144</v>
      </c>
      <c r="E16" s="92" t="s">
        <v>145</v>
      </c>
      <c r="F16" s="92" t="s">
        <v>106</v>
      </c>
      <c r="G16" s="92" t="s">
        <v>110</v>
      </c>
      <c r="H16" s="93">
        <v>7305.06</v>
      </c>
      <c r="I16" s="94" t="s">
        <v>146</v>
      </c>
      <c r="J16" s="93">
        <v>9639.67</v>
      </c>
      <c r="K16" s="93">
        <f t="shared" si="50"/>
        <v>115676.04000000001</v>
      </c>
      <c r="L16" s="95">
        <f t="shared" si="73"/>
        <v>1.3195880663540067</v>
      </c>
      <c r="M16" s="204">
        <v>504.48</v>
      </c>
      <c r="N16" s="205">
        <f t="shared" si="51"/>
        <v>4863020.7215999998</v>
      </c>
      <c r="O16" s="205">
        <f t="shared" si="52"/>
        <v>58356248.659199998</v>
      </c>
      <c r="P16" s="206">
        <v>0.59399999999999997</v>
      </c>
      <c r="Q16" s="93">
        <f t="shared" si="71"/>
        <v>68.711567760000008</v>
      </c>
      <c r="R16" s="99">
        <v>0</v>
      </c>
      <c r="S16" s="99">
        <f t="shared" si="1"/>
        <v>0</v>
      </c>
      <c r="T16" s="208">
        <v>0</v>
      </c>
      <c r="U16" s="208">
        <f t="shared" si="2"/>
        <v>0</v>
      </c>
      <c r="V16" s="208">
        <f t="shared" si="3"/>
        <v>0</v>
      </c>
      <c r="W16" s="212">
        <v>0</v>
      </c>
      <c r="X16" s="99">
        <f t="shared" si="53"/>
        <v>0</v>
      </c>
      <c r="Y16" s="99">
        <f t="shared" si="4"/>
        <v>0</v>
      </c>
      <c r="Z16" s="208">
        <f t="shared" si="5"/>
        <v>0</v>
      </c>
      <c r="AA16" s="209">
        <v>2.1907999999999999</v>
      </c>
      <c r="AB16" s="99">
        <f t="shared" si="54"/>
        <v>0</v>
      </c>
      <c r="AC16" s="103">
        <v>0</v>
      </c>
      <c r="AD16" s="103">
        <f t="shared" si="6"/>
        <v>0</v>
      </c>
      <c r="AE16" s="105">
        <v>0</v>
      </c>
      <c r="AF16" s="105">
        <f t="shared" si="7"/>
        <v>0</v>
      </c>
      <c r="AG16" s="105">
        <f t="shared" si="8"/>
        <v>0</v>
      </c>
      <c r="AH16" s="106">
        <v>0</v>
      </c>
      <c r="AI16" s="103">
        <f t="shared" si="55"/>
        <v>0</v>
      </c>
      <c r="AJ16" s="103">
        <f t="shared" si="9"/>
        <v>0</v>
      </c>
      <c r="AK16" s="105">
        <f t="shared" si="10"/>
        <v>0</v>
      </c>
      <c r="AL16" s="103">
        <v>2538.8139999999999</v>
      </c>
      <c r="AM16" s="103">
        <f t="shared" si="56"/>
        <v>0</v>
      </c>
      <c r="AN16" s="107">
        <v>0</v>
      </c>
      <c r="AO16" s="109">
        <f t="shared" si="11"/>
        <v>0</v>
      </c>
      <c r="AP16" s="109">
        <v>0</v>
      </c>
      <c r="AQ16" s="109">
        <f t="shared" si="12"/>
        <v>0</v>
      </c>
      <c r="AR16" s="109">
        <f t="shared" si="13"/>
        <v>0</v>
      </c>
      <c r="AS16" s="110">
        <v>0</v>
      </c>
      <c r="AT16" s="107">
        <f t="shared" si="14"/>
        <v>0</v>
      </c>
      <c r="AU16" s="107">
        <f t="shared" si="57"/>
        <v>0</v>
      </c>
      <c r="AV16" s="109">
        <f t="shared" si="58"/>
        <v>0</v>
      </c>
      <c r="AW16" s="111">
        <v>10.178100000000001</v>
      </c>
      <c r="AX16" s="112">
        <f t="shared" si="59"/>
        <v>0</v>
      </c>
      <c r="AY16" s="113">
        <v>0</v>
      </c>
      <c r="AZ16" s="115">
        <f t="shared" si="15"/>
        <v>0</v>
      </c>
      <c r="BA16" s="115">
        <v>0</v>
      </c>
      <c r="BB16" s="115">
        <f t="shared" si="16"/>
        <v>0</v>
      </c>
      <c r="BC16" s="115">
        <f t="shared" si="17"/>
        <v>0</v>
      </c>
      <c r="BD16" s="228">
        <v>0</v>
      </c>
      <c r="BE16" s="113">
        <f t="shared" si="74"/>
        <v>0</v>
      </c>
      <c r="BF16" s="113">
        <f t="shared" si="18"/>
        <v>0</v>
      </c>
      <c r="BG16" s="115">
        <f t="shared" si="19"/>
        <v>0</v>
      </c>
      <c r="BH16" s="117">
        <v>0</v>
      </c>
      <c r="BI16" s="117">
        <f t="shared" si="20"/>
        <v>0</v>
      </c>
      <c r="BJ16" s="118">
        <v>1263.9000000000001</v>
      </c>
      <c r="BK16" s="118">
        <f t="shared" si="21"/>
        <v>15166.800000000001</v>
      </c>
      <c r="BL16" s="120">
        <v>2715.83</v>
      </c>
      <c r="BM16" s="120">
        <f t="shared" si="22"/>
        <v>3432537.537</v>
      </c>
      <c r="BN16" s="120">
        <f>+BM16*12</f>
        <v>41190450.443999998</v>
      </c>
      <c r="BO16" s="233">
        <v>46296</v>
      </c>
      <c r="BP16" s="118">
        <f>+(BJ16*BO16)/3.6</f>
        <v>16253754.000000002</v>
      </c>
      <c r="BQ16" s="118">
        <f t="shared" si="48"/>
        <v>195045048.00000003</v>
      </c>
      <c r="BR16" s="120">
        <f t="shared" si="61"/>
        <v>0.2111842923794712</v>
      </c>
      <c r="BS16" s="122">
        <v>3.0512000000000001</v>
      </c>
      <c r="BT16" s="122">
        <f>BS16/1000*BK16</f>
        <v>46.276940160000002</v>
      </c>
      <c r="BU16" s="123">
        <f t="shared" si="62"/>
        <v>16263393.670000002</v>
      </c>
      <c r="BV16" s="123">
        <f t="shared" si="63"/>
        <v>195160724.04000002</v>
      </c>
      <c r="BW16" s="124">
        <f t="shared" si="64"/>
        <v>8295558.2586000003</v>
      </c>
      <c r="BX16" s="124">
        <f t="shared" si="65"/>
        <v>99546699.103200004</v>
      </c>
      <c r="BY16" s="123">
        <f>+Q16+AB16+AM16+AX16+BI16+BT16</f>
        <v>114.98850792000002</v>
      </c>
      <c r="BZ16" s="125">
        <v>0.1578</v>
      </c>
      <c r="CA16" s="125" t="s">
        <v>106</v>
      </c>
      <c r="CB16" s="125" t="s">
        <v>106</v>
      </c>
      <c r="CC16" s="125" t="s">
        <v>106</v>
      </c>
      <c r="CD16" s="125" t="s">
        <v>106</v>
      </c>
      <c r="CE16" s="213" t="s">
        <v>106</v>
      </c>
      <c r="CF16" s="127">
        <f t="shared" si="72"/>
        <v>9.3531519734773783E-5</v>
      </c>
      <c r="CG16" s="128">
        <f t="shared" si="67"/>
        <v>18253.679112000002</v>
      </c>
      <c r="CH16" s="129">
        <f t="shared" si="75"/>
        <v>9208616.0384217594</v>
      </c>
      <c r="CI16" s="128">
        <f t="shared" si="69"/>
        <v>10.842685392528001</v>
      </c>
    </row>
    <row r="17" spans="1:87" ht="21" customHeight="1">
      <c r="A17" s="92">
        <v>3</v>
      </c>
      <c r="B17" s="92">
        <v>2021</v>
      </c>
      <c r="C17" s="92" t="s">
        <v>138</v>
      </c>
      <c r="D17" s="92" t="s">
        <v>147</v>
      </c>
      <c r="E17" s="92" t="s">
        <v>148</v>
      </c>
      <c r="F17" s="92" t="s">
        <v>106</v>
      </c>
      <c r="G17" s="92" t="s">
        <v>110</v>
      </c>
      <c r="H17" s="93">
        <v>2000</v>
      </c>
      <c r="I17" s="94" t="s">
        <v>149</v>
      </c>
      <c r="J17" s="93">
        <v>129322</v>
      </c>
      <c r="K17" s="93">
        <f t="shared" si="50"/>
        <v>1551864</v>
      </c>
      <c r="L17" s="95">
        <f t="shared" si="73"/>
        <v>64.661000000000001</v>
      </c>
      <c r="M17" s="204">
        <v>541</v>
      </c>
      <c r="N17" s="205">
        <f t="shared" si="51"/>
        <v>69963202</v>
      </c>
      <c r="O17" s="205">
        <f t="shared" si="52"/>
        <v>839558424</v>
      </c>
      <c r="P17" s="206">
        <v>0.59399999999999997</v>
      </c>
      <c r="Q17" s="93">
        <f t="shared" si="71"/>
        <v>921.80721600000004</v>
      </c>
      <c r="R17" s="99">
        <v>0</v>
      </c>
      <c r="S17" s="99">
        <f t="shared" si="1"/>
        <v>0</v>
      </c>
      <c r="T17" s="208">
        <v>0</v>
      </c>
      <c r="U17" s="208">
        <f t="shared" si="2"/>
        <v>0</v>
      </c>
      <c r="V17" s="208">
        <f t="shared" si="3"/>
        <v>0</v>
      </c>
      <c r="W17" s="212">
        <v>0</v>
      </c>
      <c r="X17" s="99">
        <f t="shared" si="53"/>
        <v>0</v>
      </c>
      <c r="Y17" s="99">
        <f t="shared" si="4"/>
        <v>0</v>
      </c>
      <c r="Z17" s="208">
        <f t="shared" si="5"/>
        <v>0</v>
      </c>
      <c r="AA17" s="209">
        <v>2.1907999999999999</v>
      </c>
      <c r="AB17" s="99">
        <f t="shared" si="54"/>
        <v>0</v>
      </c>
      <c r="AC17" s="103">
        <v>0</v>
      </c>
      <c r="AD17" s="103">
        <f t="shared" si="6"/>
        <v>0</v>
      </c>
      <c r="AE17" s="105">
        <v>0</v>
      </c>
      <c r="AF17" s="105">
        <f t="shared" si="7"/>
        <v>0</v>
      </c>
      <c r="AG17" s="105">
        <f t="shared" si="8"/>
        <v>0</v>
      </c>
      <c r="AH17" s="106">
        <v>0</v>
      </c>
      <c r="AI17" s="103">
        <f t="shared" si="55"/>
        <v>0</v>
      </c>
      <c r="AJ17" s="103">
        <f t="shared" si="9"/>
        <v>0</v>
      </c>
      <c r="AK17" s="105">
        <f t="shared" si="10"/>
        <v>0</v>
      </c>
      <c r="AL17" s="103">
        <v>2538.8139999999999</v>
      </c>
      <c r="AM17" s="103">
        <f t="shared" si="56"/>
        <v>0</v>
      </c>
      <c r="AN17" s="107">
        <v>0</v>
      </c>
      <c r="AO17" s="109">
        <f t="shared" si="11"/>
        <v>0</v>
      </c>
      <c r="AP17" s="109">
        <v>0</v>
      </c>
      <c r="AQ17" s="109">
        <f t="shared" si="12"/>
        <v>0</v>
      </c>
      <c r="AR17" s="109">
        <f t="shared" si="13"/>
        <v>0</v>
      </c>
      <c r="AS17" s="110">
        <v>0</v>
      </c>
      <c r="AT17" s="107">
        <f t="shared" si="14"/>
        <v>0</v>
      </c>
      <c r="AU17" s="107">
        <f t="shared" si="57"/>
        <v>0</v>
      </c>
      <c r="AV17" s="109">
        <f t="shared" si="58"/>
        <v>0</v>
      </c>
      <c r="AW17" s="111">
        <v>10.178100000000001</v>
      </c>
      <c r="AX17" s="112">
        <f t="shared" si="59"/>
        <v>0</v>
      </c>
      <c r="AY17" s="113">
        <v>0</v>
      </c>
      <c r="AZ17" s="115">
        <f t="shared" si="15"/>
        <v>0</v>
      </c>
      <c r="BA17" s="115">
        <v>0</v>
      </c>
      <c r="BB17" s="115">
        <f t="shared" si="16"/>
        <v>0</v>
      </c>
      <c r="BC17" s="115">
        <f t="shared" si="17"/>
        <v>0</v>
      </c>
      <c r="BD17" s="228">
        <v>0</v>
      </c>
      <c r="BE17" s="113">
        <f t="shared" si="74"/>
        <v>0</v>
      </c>
      <c r="BF17" s="113">
        <f t="shared" si="18"/>
        <v>0</v>
      </c>
      <c r="BG17" s="115">
        <f t="shared" si="19"/>
        <v>0</v>
      </c>
      <c r="BH17" s="117">
        <v>0</v>
      </c>
      <c r="BI17" s="117">
        <f t="shared" si="20"/>
        <v>0</v>
      </c>
      <c r="BJ17" s="118">
        <v>0</v>
      </c>
      <c r="BK17" s="118">
        <f t="shared" si="21"/>
        <v>0</v>
      </c>
      <c r="BL17" s="120">
        <v>0</v>
      </c>
      <c r="BM17" s="120">
        <f t="shared" si="22"/>
        <v>0</v>
      </c>
      <c r="BN17" s="120">
        <f t="shared" si="23"/>
        <v>0</v>
      </c>
      <c r="BO17" s="121">
        <v>0</v>
      </c>
      <c r="BP17" s="118">
        <f t="shared" si="24"/>
        <v>0</v>
      </c>
      <c r="BQ17" s="118">
        <f t="shared" si="48"/>
        <v>0</v>
      </c>
      <c r="BR17" s="120">
        <f t="shared" si="61"/>
        <v>0</v>
      </c>
      <c r="BS17" s="122">
        <v>3.0512000000000001</v>
      </c>
      <c r="BT17" s="122">
        <f t="shared" ref="BT17:BT53" si="76">BS17/1000*BK17</f>
        <v>0</v>
      </c>
      <c r="BU17" s="123">
        <f t="shared" si="62"/>
        <v>129322</v>
      </c>
      <c r="BV17" s="123">
        <f t="shared" si="63"/>
        <v>1551864</v>
      </c>
      <c r="BW17" s="124">
        <f t="shared" si="64"/>
        <v>69963202</v>
      </c>
      <c r="BX17" s="124">
        <f t="shared" si="65"/>
        <v>839558424</v>
      </c>
      <c r="BY17" s="123">
        <f t="shared" si="66"/>
        <v>921.80721600000004</v>
      </c>
      <c r="BZ17" s="125">
        <v>0.1298</v>
      </c>
      <c r="CA17" s="125" t="s">
        <v>106</v>
      </c>
      <c r="CB17" s="125" t="s">
        <v>106</v>
      </c>
      <c r="CC17" s="125" t="s">
        <v>106</v>
      </c>
      <c r="CD17" s="125" t="s">
        <v>106</v>
      </c>
      <c r="CE17" s="125" t="s">
        <v>106</v>
      </c>
      <c r="CF17" s="127">
        <f t="shared" si="72"/>
        <v>0.1298</v>
      </c>
      <c r="CG17" s="128">
        <f t="shared" si="67"/>
        <v>201431.9472</v>
      </c>
      <c r="CH17" s="129">
        <f t="shared" si="68"/>
        <v>108974683.43520001</v>
      </c>
      <c r="CI17" s="128">
        <f t="shared" si="69"/>
        <v>119.65057663680001</v>
      </c>
    </row>
    <row r="18" spans="1:87" ht="21" customHeight="1">
      <c r="A18" s="169">
        <v>3</v>
      </c>
      <c r="B18" s="170">
        <v>2021</v>
      </c>
      <c r="C18" s="170" t="s">
        <v>138</v>
      </c>
      <c r="D18" s="170" t="s">
        <v>150</v>
      </c>
      <c r="E18" s="170" t="s">
        <v>113</v>
      </c>
      <c r="F18" s="170" t="s">
        <v>142</v>
      </c>
      <c r="G18" s="92" t="s">
        <v>110</v>
      </c>
      <c r="H18" s="171">
        <v>2200</v>
      </c>
      <c r="I18" s="172" t="s">
        <v>151</v>
      </c>
      <c r="J18" s="171">
        <v>45007</v>
      </c>
      <c r="K18" s="171">
        <f t="shared" si="50"/>
        <v>540084</v>
      </c>
      <c r="L18" s="173">
        <f t="shared" si="73"/>
        <v>20.457727272727272</v>
      </c>
      <c r="M18" s="234">
        <v>504</v>
      </c>
      <c r="N18" s="215">
        <f t="shared" si="51"/>
        <v>22683528</v>
      </c>
      <c r="O18" s="215">
        <f t="shared" si="52"/>
        <v>272202336</v>
      </c>
      <c r="P18" s="174">
        <v>0.59399999999999997</v>
      </c>
      <c r="Q18" s="171">
        <f t="shared" si="71"/>
        <v>320.80989599999998</v>
      </c>
      <c r="R18" s="175">
        <v>0</v>
      </c>
      <c r="S18" s="175">
        <f t="shared" si="1"/>
        <v>0</v>
      </c>
      <c r="T18" s="176">
        <v>0</v>
      </c>
      <c r="U18" s="177">
        <f t="shared" si="2"/>
        <v>0</v>
      </c>
      <c r="V18" s="177">
        <f t="shared" si="3"/>
        <v>0</v>
      </c>
      <c r="W18" s="211">
        <v>0</v>
      </c>
      <c r="X18" s="175">
        <f t="shared" si="53"/>
        <v>0</v>
      </c>
      <c r="Y18" s="175">
        <f t="shared" si="4"/>
        <v>0</v>
      </c>
      <c r="Z18" s="177">
        <f t="shared" si="5"/>
        <v>0</v>
      </c>
      <c r="AA18" s="178">
        <v>2.1907999999999999</v>
      </c>
      <c r="AB18" s="175">
        <f t="shared" si="54"/>
        <v>0</v>
      </c>
      <c r="AC18" s="229">
        <f>AI18*3.6/(AH18*1000)</f>
        <v>3.080890052356021</v>
      </c>
      <c r="AD18" s="179">
        <f>+AC18*12</f>
        <v>36.970680628272248</v>
      </c>
      <c r="AE18" s="180">
        <v>360000</v>
      </c>
      <c r="AF18" s="181">
        <f>+AE18*AC18</f>
        <v>1109120.4188481676</v>
      </c>
      <c r="AG18" s="181">
        <f t="shared" si="8"/>
        <v>13309445.026178012</v>
      </c>
      <c r="AH18" s="182">
        <v>32.088000000000001</v>
      </c>
      <c r="AI18" s="179">
        <v>27461</v>
      </c>
      <c r="AJ18" s="179">
        <f>+AI18*12</f>
        <v>329532</v>
      </c>
      <c r="AK18" s="181">
        <f t="shared" si="10"/>
        <v>40.388930441286469</v>
      </c>
      <c r="AL18" s="179">
        <v>2538.8139999999999</v>
      </c>
      <c r="AM18" s="179">
        <f t="shared" si="56"/>
        <v>93.861681568586363</v>
      </c>
      <c r="AN18" s="183">
        <v>0</v>
      </c>
      <c r="AO18" s="184">
        <f t="shared" si="11"/>
        <v>0</v>
      </c>
      <c r="AP18" s="184">
        <v>0</v>
      </c>
      <c r="AQ18" s="185">
        <f t="shared" si="12"/>
        <v>0</v>
      </c>
      <c r="AR18" s="185">
        <f t="shared" si="13"/>
        <v>0</v>
      </c>
      <c r="AS18" s="186">
        <v>0</v>
      </c>
      <c r="AT18" s="183">
        <f t="shared" si="14"/>
        <v>0</v>
      </c>
      <c r="AU18" s="183">
        <f t="shared" si="57"/>
        <v>0</v>
      </c>
      <c r="AV18" s="185">
        <f t="shared" si="58"/>
        <v>0</v>
      </c>
      <c r="AW18" s="187">
        <v>10.178100000000001</v>
      </c>
      <c r="AX18" s="188">
        <f t="shared" si="59"/>
        <v>0</v>
      </c>
      <c r="AY18" s="235">
        <f>BE18*3.6/(BD18*1000)</f>
        <v>15.503441633317507</v>
      </c>
      <c r="AZ18" s="190">
        <f>+AY18*12</f>
        <v>186.04129959981009</v>
      </c>
      <c r="BA18" s="236">
        <v>0</v>
      </c>
      <c r="BB18" s="215">
        <f t="shared" si="16"/>
        <v>0</v>
      </c>
      <c r="BC18" s="215">
        <f t="shared" si="17"/>
        <v>0</v>
      </c>
      <c r="BD18" s="230">
        <v>14.743</v>
      </c>
      <c r="BE18" s="189">
        <v>63490.9</v>
      </c>
      <c r="BF18" s="189">
        <f t="shared" si="18"/>
        <v>761890.8</v>
      </c>
      <c r="BG18" s="215">
        <f t="shared" si="19"/>
        <v>0</v>
      </c>
      <c r="BH18" s="191">
        <v>1664.9169999999999</v>
      </c>
      <c r="BI18" s="191">
        <f>+(AY18*BH18)/1000</f>
        <v>25.811943533818084</v>
      </c>
      <c r="BJ18" s="192">
        <v>0</v>
      </c>
      <c r="BK18" s="192">
        <f t="shared" si="21"/>
        <v>0</v>
      </c>
      <c r="BL18" s="193">
        <v>0</v>
      </c>
      <c r="BM18" s="194">
        <f t="shared" si="22"/>
        <v>0</v>
      </c>
      <c r="BN18" s="194">
        <f t="shared" si="23"/>
        <v>0</v>
      </c>
      <c r="BO18" s="195">
        <v>0</v>
      </c>
      <c r="BP18" s="192">
        <f t="shared" si="24"/>
        <v>0</v>
      </c>
      <c r="BQ18" s="192">
        <f t="shared" si="48"/>
        <v>0</v>
      </c>
      <c r="BR18" s="194">
        <f t="shared" si="61"/>
        <v>0</v>
      </c>
      <c r="BS18" s="196">
        <v>3.0512000000000001</v>
      </c>
      <c r="BT18" s="196">
        <f t="shared" si="76"/>
        <v>0</v>
      </c>
      <c r="BU18" s="197">
        <f t="shared" si="62"/>
        <v>135958.9</v>
      </c>
      <c r="BV18" s="197">
        <f t="shared" si="63"/>
        <v>1631506.7999999998</v>
      </c>
      <c r="BW18" s="198">
        <f t="shared" si="64"/>
        <v>23792648.418848168</v>
      </c>
      <c r="BX18" s="198">
        <f t="shared" si="65"/>
        <v>285511781.026178</v>
      </c>
      <c r="BY18" s="197">
        <f t="shared" si="66"/>
        <v>440.48352110240444</v>
      </c>
      <c r="BZ18" s="199">
        <v>3.6999999999999998E-2</v>
      </c>
      <c r="CA18" s="199" t="s">
        <v>106</v>
      </c>
      <c r="CB18" s="237">
        <v>5.1000000000000004E-3</v>
      </c>
      <c r="CC18" s="199" t="s">
        <v>106</v>
      </c>
      <c r="CD18" s="237">
        <v>2.6200000000000001E-2</v>
      </c>
      <c r="CE18" s="200" t="s">
        <v>106</v>
      </c>
      <c r="CF18" s="201">
        <f t="shared" si="72"/>
        <v>2.5513384412495253E-2</v>
      </c>
      <c r="CG18" s="202">
        <f t="shared" si="67"/>
        <v>41625.260160000005</v>
      </c>
      <c r="CH18" s="203">
        <f t="shared" si="68"/>
        <v>10139364.601633508</v>
      </c>
      <c r="CI18" s="216">
        <f t="shared" si="69"/>
        <v>13.024933648585822</v>
      </c>
    </row>
    <row r="19" spans="1:87" ht="21" customHeight="1">
      <c r="A19" s="130">
        <v>3</v>
      </c>
      <c r="B19" s="130">
        <v>2021</v>
      </c>
      <c r="C19" s="130" t="s">
        <v>138</v>
      </c>
      <c r="D19" s="130" t="s">
        <v>152</v>
      </c>
      <c r="E19" s="130" t="s">
        <v>113</v>
      </c>
      <c r="F19" s="130" t="s">
        <v>106</v>
      </c>
      <c r="G19" s="92" t="s">
        <v>110</v>
      </c>
      <c r="H19" s="131">
        <v>1062</v>
      </c>
      <c r="I19" s="132" t="s">
        <v>153</v>
      </c>
      <c r="J19" s="131">
        <v>7287</v>
      </c>
      <c r="K19" s="131">
        <f t="shared" si="50"/>
        <v>87444</v>
      </c>
      <c r="L19" s="133">
        <f t="shared" si="73"/>
        <v>6.861581920903955</v>
      </c>
      <c r="M19" s="134">
        <v>660.1</v>
      </c>
      <c r="N19" s="135">
        <f t="shared" si="51"/>
        <v>4810148.7</v>
      </c>
      <c r="O19" s="135">
        <f t="shared" si="52"/>
        <v>57721784.400000006</v>
      </c>
      <c r="P19" s="136">
        <v>0.59399999999999997</v>
      </c>
      <c r="Q19" s="131">
        <f t="shared" si="71"/>
        <v>51.941735999999999</v>
      </c>
      <c r="R19" s="140">
        <v>6229</v>
      </c>
      <c r="S19" s="140">
        <f t="shared" si="1"/>
        <v>74748</v>
      </c>
      <c r="T19" s="210">
        <v>2184</v>
      </c>
      <c r="U19" s="138">
        <f>+T19*R19</f>
        <v>13604136</v>
      </c>
      <c r="V19" s="138">
        <f>+U19*12</f>
        <v>163249632</v>
      </c>
      <c r="W19" s="139">
        <v>35652</v>
      </c>
      <c r="X19" s="140">
        <f t="shared" si="53"/>
        <v>61687.863333333335</v>
      </c>
      <c r="Y19" s="140">
        <f t="shared" si="4"/>
        <v>740254.36</v>
      </c>
      <c r="Z19" s="138">
        <f t="shared" si="5"/>
        <v>220.53180747223158</v>
      </c>
      <c r="AA19" s="141">
        <v>2.1907999999999999</v>
      </c>
      <c r="AB19" s="140">
        <f t="shared" si="54"/>
        <v>163.75791839999999</v>
      </c>
      <c r="AC19" s="142">
        <v>0</v>
      </c>
      <c r="AD19" s="142">
        <f t="shared" si="6"/>
        <v>0</v>
      </c>
      <c r="AE19" s="143">
        <v>0</v>
      </c>
      <c r="AF19" s="144">
        <f t="shared" si="7"/>
        <v>0</v>
      </c>
      <c r="AG19" s="144">
        <f t="shared" si="8"/>
        <v>0</v>
      </c>
      <c r="AH19" s="145">
        <v>0</v>
      </c>
      <c r="AI19" s="142">
        <f t="shared" si="55"/>
        <v>0</v>
      </c>
      <c r="AJ19" s="142">
        <f t="shared" si="9"/>
        <v>0</v>
      </c>
      <c r="AK19" s="144">
        <f t="shared" si="10"/>
        <v>0</v>
      </c>
      <c r="AL19" s="142">
        <v>2538.8139999999999</v>
      </c>
      <c r="AM19" s="142">
        <f t="shared" si="56"/>
        <v>0</v>
      </c>
      <c r="AN19" s="146">
        <v>0</v>
      </c>
      <c r="AO19" s="147">
        <f t="shared" si="11"/>
        <v>0</v>
      </c>
      <c r="AP19" s="147">
        <v>0</v>
      </c>
      <c r="AQ19" s="148">
        <f t="shared" si="12"/>
        <v>0</v>
      </c>
      <c r="AR19" s="148">
        <f t="shared" si="13"/>
        <v>0</v>
      </c>
      <c r="AS19" s="149">
        <v>0</v>
      </c>
      <c r="AT19" s="146">
        <f t="shared" si="14"/>
        <v>0</v>
      </c>
      <c r="AU19" s="146">
        <f t="shared" si="57"/>
        <v>0</v>
      </c>
      <c r="AV19" s="148">
        <f t="shared" si="58"/>
        <v>0</v>
      </c>
      <c r="AW19" s="150">
        <v>10.178100000000001</v>
      </c>
      <c r="AX19" s="151">
        <f t="shared" si="59"/>
        <v>0</v>
      </c>
      <c r="AY19" s="152">
        <v>0</v>
      </c>
      <c r="AZ19" s="153">
        <f t="shared" si="15"/>
        <v>0</v>
      </c>
      <c r="BA19" s="153">
        <v>0</v>
      </c>
      <c r="BB19" s="154">
        <f t="shared" si="16"/>
        <v>0</v>
      </c>
      <c r="BC19" s="154">
        <f t="shared" si="17"/>
        <v>0</v>
      </c>
      <c r="BD19" s="155">
        <v>0</v>
      </c>
      <c r="BE19" s="152">
        <f t="shared" si="74"/>
        <v>0</v>
      </c>
      <c r="BF19" s="152">
        <f t="shared" si="18"/>
        <v>0</v>
      </c>
      <c r="BG19" s="154">
        <f t="shared" si="19"/>
        <v>0</v>
      </c>
      <c r="BH19" s="156">
        <v>0</v>
      </c>
      <c r="BI19" s="156">
        <f t="shared" si="20"/>
        <v>0</v>
      </c>
      <c r="BJ19" s="157">
        <v>0</v>
      </c>
      <c r="BK19" s="157">
        <f t="shared" si="21"/>
        <v>0</v>
      </c>
      <c r="BL19" s="158">
        <v>0</v>
      </c>
      <c r="BM19" s="159">
        <f t="shared" si="22"/>
        <v>0</v>
      </c>
      <c r="BN19" s="159">
        <f t="shared" si="23"/>
        <v>0</v>
      </c>
      <c r="BO19" s="160">
        <v>0</v>
      </c>
      <c r="BP19" s="157">
        <f t="shared" si="24"/>
        <v>0</v>
      </c>
      <c r="BQ19" s="157">
        <f t="shared" si="48"/>
        <v>0</v>
      </c>
      <c r="BR19" s="159">
        <f t="shared" si="61"/>
        <v>0</v>
      </c>
      <c r="BS19" s="161">
        <v>3.0512000000000001</v>
      </c>
      <c r="BT19" s="161">
        <f t="shared" si="76"/>
        <v>0</v>
      </c>
      <c r="BU19" s="162">
        <f t="shared" si="62"/>
        <v>68974.863333333342</v>
      </c>
      <c r="BV19" s="162">
        <f t="shared" si="63"/>
        <v>827698.3600000001</v>
      </c>
      <c r="BW19" s="163">
        <f t="shared" si="64"/>
        <v>18414284.699999999</v>
      </c>
      <c r="BX19" s="163">
        <f t="shared" si="65"/>
        <v>220971416.39999998</v>
      </c>
      <c r="BY19" s="162">
        <f t="shared" si="66"/>
        <v>215.69965439999999</v>
      </c>
      <c r="BZ19" s="164">
        <v>6.5000000000000002E-2</v>
      </c>
      <c r="CA19" s="164">
        <v>0.14000000000000001</v>
      </c>
      <c r="CB19" s="164" t="s">
        <v>106</v>
      </c>
      <c r="CC19" s="164" t="s">
        <v>106</v>
      </c>
      <c r="CD19" s="164" t="s">
        <v>106</v>
      </c>
      <c r="CE19" s="165" t="s">
        <v>106</v>
      </c>
      <c r="CF19" s="166">
        <f t="shared" si="72"/>
        <v>0.13207646128476078</v>
      </c>
      <c r="CG19" s="232">
        <f t="shared" si="67"/>
        <v>109319.47040000001</v>
      </c>
      <c r="CH19" s="168">
        <f t="shared" si="68"/>
        <v>26606864.466000002</v>
      </c>
      <c r="CI19" s="167">
        <f t="shared" si="69"/>
        <v>26.302321416000002</v>
      </c>
    </row>
    <row r="20" spans="1:87" ht="21" customHeight="1">
      <c r="A20" s="23">
        <v>3</v>
      </c>
      <c r="B20" s="23">
        <v>2021</v>
      </c>
      <c r="C20" s="23" t="s">
        <v>138</v>
      </c>
      <c r="D20" s="23" t="s">
        <v>154</v>
      </c>
      <c r="E20" s="23" t="s">
        <v>127</v>
      </c>
      <c r="F20" s="23" t="s">
        <v>106</v>
      </c>
      <c r="G20" s="92" t="s">
        <v>110</v>
      </c>
      <c r="H20" s="1">
        <v>537000</v>
      </c>
      <c r="I20" s="54" t="s">
        <v>155</v>
      </c>
      <c r="J20" s="1">
        <v>1850000</v>
      </c>
      <c r="K20" s="1">
        <f t="shared" si="50"/>
        <v>22200000</v>
      </c>
      <c r="L20" s="24">
        <f t="shared" si="73"/>
        <v>3.4450651769087521</v>
      </c>
      <c r="M20" s="19">
        <v>390</v>
      </c>
      <c r="N20" s="2">
        <f t="shared" si="51"/>
        <v>721500000</v>
      </c>
      <c r="O20" s="2">
        <f t="shared" si="52"/>
        <v>8658000000</v>
      </c>
      <c r="P20" s="3">
        <v>0.59399999999999997</v>
      </c>
      <c r="Q20" s="1">
        <f t="shared" si="71"/>
        <v>13186.8</v>
      </c>
      <c r="R20" s="35">
        <v>300000</v>
      </c>
      <c r="S20" s="35">
        <f>+R20*12</f>
        <v>3600000</v>
      </c>
      <c r="T20" s="36">
        <v>1360</v>
      </c>
      <c r="U20" s="37">
        <f>+T20*R20</f>
        <v>408000000</v>
      </c>
      <c r="V20" s="37">
        <f>+U20*12</f>
        <v>4896000000</v>
      </c>
      <c r="W20" s="38">
        <v>35652</v>
      </c>
      <c r="X20" s="35">
        <f t="shared" si="53"/>
        <v>2971000</v>
      </c>
      <c r="Y20" s="35">
        <f t="shared" si="4"/>
        <v>35652000</v>
      </c>
      <c r="Z20" s="37">
        <f t="shared" si="5"/>
        <v>137.32749915853248</v>
      </c>
      <c r="AA20" s="61">
        <v>2.1907999999999999</v>
      </c>
      <c r="AB20" s="35">
        <f>+(S20*AA20)/1000</f>
        <v>7886.8799999999992</v>
      </c>
      <c r="AC20" s="27">
        <v>0</v>
      </c>
      <c r="AD20" s="27">
        <f t="shared" si="6"/>
        <v>0</v>
      </c>
      <c r="AE20" s="30">
        <v>0</v>
      </c>
      <c r="AF20" s="31">
        <f t="shared" si="7"/>
        <v>0</v>
      </c>
      <c r="AG20" s="31">
        <f t="shared" si="8"/>
        <v>0</v>
      </c>
      <c r="AH20" s="32">
        <v>0</v>
      </c>
      <c r="AI20" s="27">
        <f t="shared" si="55"/>
        <v>0</v>
      </c>
      <c r="AJ20" s="27">
        <f t="shared" si="9"/>
        <v>0</v>
      </c>
      <c r="AK20" s="31">
        <f t="shared" si="10"/>
        <v>0</v>
      </c>
      <c r="AL20" s="27">
        <v>2538.8139999999999</v>
      </c>
      <c r="AM20" s="27">
        <f t="shared" si="56"/>
        <v>0</v>
      </c>
      <c r="AN20" s="42">
        <v>0</v>
      </c>
      <c r="AO20" s="43">
        <f t="shared" si="11"/>
        <v>0</v>
      </c>
      <c r="AP20" s="43">
        <v>0</v>
      </c>
      <c r="AQ20" s="44">
        <f t="shared" si="12"/>
        <v>0</v>
      </c>
      <c r="AR20" s="44">
        <f t="shared" si="13"/>
        <v>0</v>
      </c>
      <c r="AS20" s="45">
        <v>0</v>
      </c>
      <c r="AT20" s="42">
        <f t="shared" si="14"/>
        <v>0</v>
      </c>
      <c r="AU20" s="42">
        <f t="shared" si="57"/>
        <v>0</v>
      </c>
      <c r="AV20" s="44">
        <f t="shared" si="58"/>
        <v>0</v>
      </c>
      <c r="AW20" s="46">
        <v>10.178100000000001</v>
      </c>
      <c r="AX20" s="47">
        <f t="shared" si="59"/>
        <v>0</v>
      </c>
      <c r="AY20" s="7">
        <v>0</v>
      </c>
      <c r="AZ20" s="8">
        <f t="shared" si="15"/>
        <v>0</v>
      </c>
      <c r="BA20" s="8">
        <v>0</v>
      </c>
      <c r="BB20" s="9">
        <f t="shared" si="16"/>
        <v>0</v>
      </c>
      <c r="BC20" s="9">
        <f t="shared" si="17"/>
        <v>0</v>
      </c>
      <c r="BD20" s="10">
        <v>0</v>
      </c>
      <c r="BE20" s="7">
        <f t="shared" si="74"/>
        <v>0</v>
      </c>
      <c r="BF20" s="7">
        <f t="shared" si="18"/>
        <v>0</v>
      </c>
      <c r="BG20" s="9">
        <f t="shared" si="19"/>
        <v>0</v>
      </c>
      <c r="BH20" s="11">
        <v>0</v>
      </c>
      <c r="BI20" s="11">
        <f t="shared" si="20"/>
        <v>0</v>
      </c>
      <c r="BJ20" s="14">
        <v>0</v>
      </c>
      <c r="BK20" s="14">
        <f t="shared" si="21"/>
        <v>0</v>
      </c>
      <c r="BL20" s="15">
        <v>0</v>
      </c>
      <c r="BM20" s="16">
        <f t="shared" si="22"/>
        <v>0</v>
      </c>
      <c r="BN20" s="16">
        <f t="shared" si="23"/>
        <v>0</v>
      </c>
      <c r="BO20" s="17">
        <v>0</v>
      </c>
      <c r="BP20" s="14">
        <f t="shared" si="24"/>
        <v>0</v>
      </c>
      <c r="BQ20" s="14">
        <f t="shared" si="48"/>
        <v>0</v>
      </c>
      <c r="BR20" s="16">
        <f t="shared" si="61"/>
        <v>0</v>
      </c>
      <c r="BS20" s="18">
        <v>3.0512000000000001</v>
      </c>
      <c r="BT20" s="18">
        <f t="shared" si="76"/>
        <v>0</v>
      </c>
      <c r="BU20" s="57">
        <f t="shared" si="62"/>
        <v>4821000</v>
      </c>
      <c r="BV20" s="57">
        <f t="shared" si="63"/>
        <v>57852000</v>
      </c>
      <c r="BW20" s="58">
        <f t="shared" si="64"/>
        <v>1129500000</v>
      </c>
      <c r="BX20" s="58">
        <f t="shared" si="65"/>
        <v>13554000000</v>
      </c>
      <c r="BY20" s="57">
        <f t="shared" si="66"/>
        <v>21073.68</v>
      </c>
      <c r="BZ20" s="68">
        <v>2.62989E-2</v>
      </c>
      <c r="CA20" s="68">
        <v>0.11</v>
      </c>
      <c r="CB20" s="68" t="s">
        <v>106</v>
      </c>
      <c r="CC20" s="68" t="s">
        <v>106</v>
      </c>
      <c r="CD20" s="68" t="s">
        <v>106</v>
      </c>
      <c r="CE20" s="77" t="s">
        <v>106</v>
      </c>
      <c r="CF20" s="73">
        <f t="shared" si="72"/>
        <v>7.7880722879070732E-2</v>
      </c>
      <c r="CG20" s="74">
        <f t="shared" si="67"/>
        <v>4505555.58</v>
      </c>
      <c r="CH20" s="75">
        <f t="shared" si="68"/>
        <v>766255876.20000005</v>
      </c>
      <c r="CI20" s="74">
        <f t="shared" si="69"/>
        <v>1214.3551345199999</v>
      </c>
    </row>
    <row r="21" spans="1:87" ht="21" customHeight="1">
      <c r="A21" s="23">
        <v>3</v>
      </c>
      <c r="B21" s="23">
        <v>2021</v>
      </c>
      <c r="C21" s="23" t="s">
        <v>138</v>
      </c>
      <c r="D21" s="23" t="s">
        <v>156</v>
      </c>
      <c r="E21" s="23" t="s">
        <v>157</v>
      </c>
      <c r="F21" s="23" t="s">
        <v>106</v>
      </c>
      <c r="G21" s="92" t="s">
        <v>110</v>
      </c>
      <c r="H21" s="1">
        <v>2000</v>
      </c>
      <c r="I21" s="54" t="s">
        <v>158</v>
      </c>
      <c r="J21" s="1">
        <v>127500</v>
      </c>
      <c r="K21" s="1">
        <f t="shared" si="50"/>
        <v>1530000</v>
      </c>
      <c r="L21" s="24">
        <f t="shared" si="73"/>
        <v>63.75</v>
      </c>
      <c r="M21" s="19">
        <v>440</v>
      </c>
      <c r="N21" s="2">
        <f t="shared" si="51"/>
        <v>56100000</v>
      </c>
      <c r="O21" s="2">
        <f t="shared" si="52"/>
        <v>673200000</v>
      </c>
      <c r="P21" s="3">
        <v>0.59399999999999997</v>
      </c>
      <c r="Q21" s="1">
        <f t="shared" si="71"/>
        <v>908.82</v>
      </c>
      <c r="R21" s="35">
        <v>0</v>
      </c>
      <c r="S21" s="35">
        <f t="shared" si="1"/>
        <v>0</v>
      </c>
      <c r="T21" s="35">
        <v>0</v>
      </c>
      <c r="U21" s="35">
        <f>+T21*R21</f>
        <v>0</v>
      </c>
      <c r="V21" s="35">
        <f t="shared" si="3"/>
        <v>0</v>
      </c>
      <c r="W21" s="35">
        <v>0</v>
      </c>
      <c r="X21" s="35">
        <f t="shared" si="53"/>
        <v>0</v>
      </c>
      <c r="Y21" s="35">
        <f t="shared" si="4"/>
        <v>0</v>
      </c>
      <c r="Z21" s="35">
        <f t="shared" si="5"/>
        <v>0</v>
      </c>
      <c r="AA21" s="35">
        <v>2.1907999999999999</v>
      </c>
      <c r="AB21" s="35">
        <f t="shared" si="54"/>
        <v>0</v>
      </c>
      <c r="AC21" s="27">
        <v>0</v>
      </c>
      <c r="AD21" s="27">
        <f t="shared" si="6"/>
        <v>0</v>
      </c>
      <c r="AE21" s="30">
        <v>0</v>
      </c>
      <c r="AF21" s="31">
        <f t="shared" si="7"/>
        <v>0</v>
      </c>
      <c r="AG21" s="31">
        <f t="shared" si="8"/>
        <v>0</v>
      </c>
      <c r="AH21" s="32">
        <v>0</v>
      </c>
      <c r="AI21" s="27">
        <f t="shared" si="55"/>
        <v>0</v>
      </c>
      <c r="AJ21" s="27">
        <f t="shared" si="9"/>
        <v>0</v>
      </c>
      <c r="AK21" s="31">
        <f t="shared" si="10"/>
        <v>0</v>
      </c>
      <c r="AL21" s="27">
        <v>2538.8139999999999</v>
      </c>
      <c r="AM21" s="27">
        <f t="shared" si="56"/>
        <v>0</v>
      </c>
      <c r="AN21" s="42">
        <v>0</v>
      </c>
      <c r="AO21" s="43">
        <f t="shared" ref="AO21" si="77">+AN21*12</f>
        <v>0</v>
      </c>
      <c r="AP21" s="43">
        <v>0</v>
      </c>
      <c r="AQ21" s="44">
        <f t="shared" ref="AQ21" si="78">+AP21*AN21</f>
        <v>0</v>
      </c>
      <c r="AR21" s="44">
        <f t="shared" ref="AR21" si="79">+AQ21*12</f>
        <v>0</v>
      </c>
      <c r="AS21" s="45">
        <v>0</v>
      </c>
      <c r="AT21" s="42">
        <f t="shared" ref="AT21" si="80">+(AN21*AS21)/3.6</f>
        <v>0</v>
      </c>
      <c r="AU21" s="42">
        <f t="shared" ref="AU21" si="81">+AT21*12</f>
        <v>0</v>
      </c>
      <c r="AV21" s="44">
        <f t="shared" ref="AV21" si="82">IFERROR(AR21/AU21,0)</f>
        <v>0</v>
      </c>
      <c r="AW21" s="46">
        <v>10.178100000000001</v>
      </c>
      <c r="AX21" s="47">
        <f t="shared" si="59"/>
        <v>0</v>
      </c>
      <c r="AY21" s="7">
        <v>0</v>
      </c>
      <c r="AZ21" s="8">
        <f t="shared" si="15"/>
        <v>0</v>
      </c>
      <c r="BA21" s="8">
        <v>0</v>
      </c>
      <c r="BB21" s="9">
        <f t="shared" si="16"/>
        <v>0</v>
      </c>
      <c r="BC21" s="9">
        <f t="shared" si="17"/>
        <v>0</v>
      </c>
      <c r="BD21" s="10">
        <v>0</v>
      </c>
      <c r="BE21" s="7">
        <f t="shared" si="74"/>
        <v>0</v>
      </c>
      <c r="BF21" s="7">
        <f t="shared" si="18"/>
        <v>0</v>
      </c>
      <c r="BG21" s="9">
        <f t="shared" si="19"/>
        <v>0</v>
      </c>
      <c r="BH21" s="11">
        <v>0</v>
      </c>
      <c r="BI21" s="11">
        <f t="shared" si="20"/>
        <v>0</v>
      </c>
      <c r="BJ21" s="157">
        <v>0</v>
      </c>
      <c r="BK21" s="157">
        <f t="shared" ref="BK21:BK22" si="83">+BJ21*12</f>
        <v>0</v>
      </c>
      <c r="BL21" s="158">
        <v>0</v>
      </c>
      <c r="BM21" s="159">
        <f t="shared" ref="BM21:BM22" si="84">+BL21*BJ21</f>
        <v>0</v>
      </c>
      <c r="BN21" s="159">
        <f t="shared" ref="BN21:BN22" si="85">+BM21*12</f>
        <v>0</v>
      </c>
      <c r="BO21" s="160">
        <v>0</v>
      </c>
      <c r="BP21" s="157">
        <f t="shared" ref="BP21:BP22" si="86">+(BJ21*BO21)/3.6</f>
        <v>0</v>
      </c>
      <c r="BQ21" s="157">
        <f t="shared" ref="BQ21:BQ22" si="87">+BK21*BO21/3.6</f>
        <v>0</v>
      </c>
      <c r="BR21" s="159">
        <f t="shared" ref="BR21:BR22" si="88">IFERROR(BN21/BQ21,0)</f>
        <v>0</v>
      </c>
      <c r="BS21" s="161">
        <v>3.0512000000000001</v>
      </c>
      <c r="BT21" s="161">
        <f t="shared" ref="BT21:BT22" si="89">BS21/1000*BK21</f>
        <v>0</v>
      </c>
      <c r="BU21" s="57">
        <f t="shared" si="62"/>
        <v>127500</v>
      </c>
      <c r="BV21" s="57">
        <f t="shared" si="63"/>
        <v>1530000</v>
      </c>
      <c r="BW21" s="58">
        <f t="shared" si="64"/>
        <v>56100000</v>
      </c>
      <c r="BX21" s="58">
        <f t="shared" si="65"/>
        <v>673200000</v>
      </c>
      <c r="BY21" s="57">
        <f t="shared" si="66"/>
        <v>908.82</v>
      </c>
      <c r="BZ21" s="68">
        <v>9.7000000000000003E-2</v>
      </c>
      <c r="CA21" s="69" t="s">
        <v>106</v>
      </c>
      <c r="CB21" s="68" t="s">
        <v>106</v>
      </c>
      <c r="CC21" s="68" t="s">
        <v>106</v>
      </c>
      <c r="CD21" s="68" t="s">
        <v>106</v>
      </c>
      <c r="CE21" s="78" t="s">
        <v>106</v>
      </c>
      <c r="CF21" s="73">
        <f t="shared" si="72"/>
        <v>9.7000000000000003E-2</v>
      </c>
      <c r="CG21" s="74">
        <f t="shared" si="67"/>
        <v>148410</v>
      </c>
      <c r="CH21" s="75">
        <f t="shared" si="68"/>
        <v>65300400</v>
      </c>
      <c r="CI21" s="74">
        <f t="shared" si="69"/>
        <v>88.155540000000002</v>
      </c>
    </row>
    <row r="22" spans="1:87" ht="21" customHeight="1">
      <c r="A22" s="23">
        <v>3</v>
      </c>
      <c r="B22" s="23">
        <v>2021</v>
      </c>
      <c r="C22" s="23" t="s">
        <v>138</v>
      </c>
      <c r="D22" s="23" t="s">
        <v>159</v>
      </c>
      <c r="E22" s="23" t="s">
        <v>113</v>
      </c>
      <c r="F22" s="23" t="s">
        <v>160</v>
      </c>
      <c r="G22" s="92" t="s">
        <v>110</v>
      </c>
      <c r="H22" s="1">
        <v>9921</v>
      </c>
      <c r="I22" s="54" t="s">
        <v>161</v>
      </c>
      <c r="J22" s="1">
        <v>666879</v>
      </c>
      <c r="K22" s="1">
        <f>+J22*12</f>
        <v>8002548</v>
      </c>
      <c r="L22" s="24">
        <f>+J22/H22</f>
        <v>67.218929543392804</v>
      </c>
      <c r="M22" s="48">
        <v>504</v>
      </c>
      <c r="N22" s="66">
        <f t="shared" si="51"/>
        <v>336107016</v>
      </c>
      <c r="O22" s="66">
        <f t="shared" si="52"/>
        <v>4033284192</v>
      </c>
      <c r="P22" s="3">
        <v>0.59399999999999997</v>
      </c>
      <c r="Q22" s="1">
        <f t="shared" si="71"/>
        <v>4753.5135120000004</v>
      </c>
      <c r="R22" s="35">
        <v>4287</v>
      </c>
      <c r="S22" s="35">
        <f t="shared" ref="S22" si="90">+R22*12</f>
        <v>51444</v>
      </c>
      <c r="T22" s="65">
        <v>2300</v>
      </c>
      <c r="U22" s="66">
        <f>+T22*R22</f>
        <v>9860100</v>
      </c>
      <c r="V22" s="66">
        <f t="shared" ref="V22" si="91">+U22*12</f>
        <v>118321200</v>
      </c>
      <c r="W22" s="67">
        <v>35652</v>
      </c>
      <c r="X22" s="49">
        <f t="shared" ref="X22" si="92">+R22*W22/3600</f>
        <v>42455.59</v>
      </c>
      <c r="Y22" s="49">
        <f t="shared" ref="Y22" si="93">+X22*12</f>
        <v>509467.07999999996</v>
      </c>
      <c r="Z22" s="66">
        <f t="shared" ref="Z22" si="94">IFERROR(V22/Y22,0)</f>
        <v>232.24503534163583</v>
      </c>
      <c r="AA22" s="61">
        <v>2.1907999999999999</v>
      </c>
      <c r="AB22" s="35">
        <f t="shared" ref="AB22" si="95">+(S22*AA22)/1000</f>
        <v>112.7035152</v>
      </c>
      <c r="AC22" s="27">
        <v>0</v>
      </c>
      <c r="AD22" s="27">
        <f t="shared" ref="AD22" si="96">+AC22*12</f>
        <v>0</v>
      </c>
      <c r="AE22" s="30">
        <v>0</v>
      </c>
      <c r="AF22" s="31">
        <f t="shared" ref="AF22" si="97">+AE22*AC22</f>
        <v>0</v>
      </c>
      <c r="AG22" s="31">
        <f t="shared" ref="AG22" si="98">+AF22*12</f>
        <v>0</v>
      </c>
      <c r="AH22" s="32">
        <v>0</v>
      </c>
      <c r="AI22" s="27">
        <f t="shared" ref="AI22" si="99">+AC22*AH22*1000000/3600</f>
        <v>0</v>
      </c>
      <c r="AJ22" s="27">
        <f t="shared" ref="AJ22" si="100">+AI22*12</f>
        <v>0</v>
      </c>
      <c r="AK22" s="31">
        <f t="shared" ref="AK22" si="101">IFERROR(AG22/AJ22,0)</f>
        <v>0</v>
      </c>
      <c r="AL22" s="27">
        <v>2538.8139999999999</v>
      </c>
      <c r="AM22" s="27">
        <f t="shared" ref="AM22" si="102">+(AD22*AL22)/1000</f>
        <v>0</v>
      </c>
      <c r="AN22" s="42">
        <v>25</v>
      </c>
      <c r="AO22" s="43">
        <f t="shared" ref="AO22" si="103">+AN22*12</f>
        <v>300</v>
      </c>
      <c r="AP22" s="43">
        <v>8200</v>
      </c>
      <c r="AQ22" s="44">
        <f t="shared" ref="AQ22" si="104">+AP22*AN22</f>
        <v>205000</v>
      </c>
      <c r="AR22" s="44">
        <f t="shared" ref="AR22" si="105">+AQ22*12</f>
        <v>2460000</v>
      </c>
      <c r="AS22" s="45">
        <v>135</v>
      </c>
      <c r="AT22" s="42">
        <f t="shared" ref="AT22" si="106">+(AN22*AS22)/3.6</f>
        <v>937.5</v>
      </c>
      <c r="AU22" s="42">
        <f t="shared" ref="AU22" si="107">+AT22*12</f>
        <v>11250</v>
      </c>
      <c r="AV22" s="44">
        <f t="shared" ref="AV22" si="108">IFERROR(AR22/AU22,0)</f>
        <v>218.66666666666666</v>
      </c>
      <c r="AW22" s="46">
        <v>10.178100000000001</v>
      </c>
      <c r="AX22" s="47">
        <f t="shared" ref="AX22" si="109">+(AO22*AW22)/1000</f>
        <v>3.0534300000000001</v>
      </c>
      <c r="AY22" s="7">
        <v>0</v>
      </c>
      <c r="AZ22" s="8">
        <f t="shared" ref="AZ22" si="110">+AY22*12</f>
        <v>0</v>
      </c>
      <c r="BA22" s="8">
        <v>0</v>
      </c>
      <c r="BB22" s="9">
        <f t="shared" ref="BB22" si="111">+BA22*AY22</f>
        <v>0</v>
      </c>
      <c r="BC22" s="9">
        <f t="shared" ref="BC22" si="112">+BB22*12</f>
        <v>0</v>
      </c>
      <c r="BD22" s="10">
        <v>0</v>
      </c>
      <c r="BE22" s="7">
        <f t="shared" ref="BE22" si="113">+AY22*BD22/3600*1000</f>
        <v>0</v>
      </c>
      <c r="BF22" s="7">
        <f t="shared" ref="BF22" si="114">+BE22*12</f>
        <v>0</v>
      </c>
      <c r="BG22" s="9">
        <f t="shared" ref="BG22" si="115">IFERROR(BC22/BF22,0)</f>
        <v>0</v>
      </c>
      <c r="BH22" s="11">
        <v>0</v>
      </c>
      <c r="BI22" s="11">
        <f t="shared" ref="BI22" si="116">+(AY22*BH22)/1000</f>
        <v>0</v>
      </c>
      <c r="BJ22" s="14">
        <v>0</v>
      </c>
      <c r="BK22" s="14">
        <f t="shared" si="83"/>
        <v>0</v>
      </c>
      <c r="BL22" s="15">
        <v>0</v>
      </c>
      <c r="BM22" s="16">
        <f t="shared" si="84"/>
        <v>0</v>
      </c>
      <c r="BN22" s="16">
        <f t="shared" si="85"/>
        <v>0</v>
      </c>
      <c r="BO22" s="17">
        <v>0</v>
      </c>
      <c r="BP22" s="14">
        <f t="shared" si="86"/>
        <v>0</v>
      </c>
      <c r="BQ22" s="14">
        <f t="shared" si="87"/>
        <v>0</v>
      </c>
      <c r="BR22" s="16">
        <f t="shared" si="88"/>
        <v>0</v>
      </c>
      <c r="BS22" s="18">
        <v>3.0512000000000001</v>
      </c>
      <c r="BT22" s="18">
        <f t="shared" si="89"/>
        <v>0</v>
      </c>
      <c r="BU22" s="57">
        <f t="shared" si="62"/>
        <v>710272.09</v>
      </c>
      <c r="BV22" s="57">
        <f t="shared" si="63"/>
        <v>8523265.0800000001</v>
      </c>
      <c r="BW22" s="58">
        <f>N22+U22+AF22+AQ22+BB22+BM22</f>
        <v>346172116</v>
      </c>
      <c r="BX22" s="58">
        <f t="shared" si="65"/>
        <v>4154065392</v>
      </c>
      <c r="BY22" s="57">
        <f t="shared" si="66"/>
        <v>4869.2704572000002</v>
      </c>
      <c r="BZ22" s="68">
        <v>3.2000000000000001E-2</v>
      </c>
      <c r="CA22" s="68" t="s">
        <v>106</v>
      </c>
      <c r="CB22" s="68" t="s">
        <v>106</v>
      </c>
      <c r="CC22" s="68" t="s">
        <v>106</v>
      </c>
      <c r="CD22" s="68" t="s">
        <v>106</v>
      </c>
      <c r="CE22" s="77" t="s">
        <v>106</v>
      </c>
      <c r="CF22" s="73">
        <f t="shared" si="72"/>
        <v>3.00450043025061E-2</v>
      </c>
      <c r="CG22" s="74">
        <f t="shared" si="67"/>
        <v>256081.53599999999</v>
      </c>
      <c r="CH22" s="75">
        <f t="shared" si="68"/>
        <v>129065094.14400001</v>
      </c>
      <c r="CI22" s="74">
        <f t="shared" si="69"/>
        <v>152.11243238400002</v>
      </c>
    </row>
    <row r="23" spans="1:87" ht="21" customHeight="1">
      <c r="A23" s="23">
        <v>3</v>
      </c>
      <c r="B23" s="23">
        <v>2021</v>
      </c>
      <c r="C23" s="23" t="s">
        <v>138</v>
      </c>
      <c r="D23" s="23" t="s">
        <v>162</v>
      </c>
      <c r="E23" s="23" t="s">
        <v>163</v>
      </c>
      <c r="F23" s="23" t="s">
        <v>106</v>
      </c>
      <c r="G23" s="92" t="s">
        <v>110</v>
      </c>
      <c r="H23" s="1">
        <v>7046</v>
      </c>
      <c r="I23" s="54" t="s">
        <v>164</v>
      </c>
      <c r="J23" s="1">
        <v>5639000</v>
      </c>
      <c r="K23" s="1">
        <f t="shared" si="50"/>
        <v>67668000</v>
      </c>
      <c r="L23" s="24">
        <f>+J23/H23</f>
        <v>800.31223389156969</v>
      </c>
      <c r="M23" s="19">
        <v>487</v>
      </c>
      <c r="N23" s="2">
        <f t="shared" si="51"/>
        <v>2746193000</v>
      </c>
      <c r="O23" s="2">
        <f t="shared" si="52"/>
        <v>32954316000</v>
      </c>
      <c r="P23" s="3">
        <v>0.59399999999999997</v>
      </c>
      <c r="Q23" s="1">
        <f t="shared" si="71"/>
        <v>40194.792000000001</v>
      </c>
      <c r="R23" s="35">
        <v>0</v>
      </c>
      <c r="S23" s="35">
        <f t="shared" si="1"/>
        <v>0</v>
      </c>
      <c r="T23" s="36">
        <v>0</v>
      </c>
      <c r="U23" s="37">
        <f t="shared" si="2"/>
        <v>0</v>
      </c>
      <c r="V23" s="37">
        <f t="shared" si="3"/>
        <v>0</v>
      </c>
      <c r="W23" s="38">
        <v>0</v>
      </c>
      <c r="X23" s="35">
        <f t="shared" si="53"/>
        <v>0</v>
      </c>
      <c r="Y23" s="35">
        <f t="shared" si="4"/>
        <v>0</v>
      </c>
      <c r="Z23" s="37">
        <f t="shared" si="5"/>
        <v>0</v>
      </c>
      <c r="AA23" s="61">
        <v>2.1907999999999999</v>
      </c>
      <c r="AB23" s="35">
        <f t="shared" si="54"/>
        <v>0</v>
      </c>
      <c r="AC23" s="27">
        <v>0</v>
      </c>
      <c r="AD23" s="27">
        <f t="shared" si="6"/>
        <v>0</v>
      </c>
      <c r="AE23" s="30">
        <v>0</v>
      </c>
      <c r="AF23" s="31">
        <f t="shared" si="7"/>
        <v>0</v>
      </c>
      <c r="AG23" s="31">
        <f t="shared" si="8"/>
        <v>0</v>
      </c>
      <c r="AH23" s="32">
        <v>0</v>
      </c>
      <c r="AI23" s="27">
        <f t="shared" si="55"/>
        <v>0</v>
      </c>
      <c r="AJ23" s="27">
        <f t="shared" si="9"/>
        <v>0</v>
      </c>
      <c r="AK23" s="31">
        <f t="shared" si="10"/>
        <v>0</v>
      </c>
      <c r="AL23" s="27">
        <v>2538.8139999999999</v>
      </c>
      <c r="AM23" s="27">
        <f t="shared" si="56"/>
        <v>0</v>
      </c>
      <c r="AN23" s="42">
        <v>0</v>
      </c>
      <c r="AO23" s="43">
        <f t="shared" si="11"/>
        <v>0</v>
      </c>
      <c r="AP23" s="43">
        <v>0</v>
      </c>
      <c r="AQ23" s="44">
        <f t="shared" si="12"/>
        <v>0</v>
      </c>
      <c r="AR23" s="44">
        <f t="shared" si="13"/>
        <v>0</v>
      </c>
      <c r="AS23" s="45">
        <v>0</v>
      </c>
      <c r="AT23" s="42">
        <f t="shared" si="14"/>
        <v>0</v>
      </c>
      <c r="AU23" s="42">
        <f t="shared" si="57"/>
        <v>0</v>
      </c>
      <c r="AV23" s="44">
        <f t="shared" si="58"/>
        <v>0</v>
      </c>
      <c r="AW23" s="46">
        <v>10.178100000000001</v>
      </c>
      <c r="AX23" s="47">
        <f t="shared" si="59"/>
        <v>0</v>
      </c>
      <c r="AY23" s="7">
        <v>0</v>
      </c>
      <c r="AZ23" s="8">
        <f t="shared" si="15"/>
        <v>0</v>
      </c>
      <c r="BA23" s="8">
        <v>0</v>
      </c>
      <c r="BB23" s="9">
        <f t="shared" si="16"/>
        <v>0</v>
      </c>
      <c r="BC23" s="9">
        <f t="shared" si="17"/>
        <v>0</v>
      </c>
      <c r="BD23" s="10">
        <v>0</v>
      </c>
      <c r="BE23" s="7">
        <f t="shared" si="74"/>
        <v>0</v>
      </c>
      <c r="BF23" s="7">
        <f t="shared" si="18"/>
        <v>0</v>
      </c>
      <c r="BG23" s="9">
        <f t="shared" si="19"/>
        <v>0</v>
      </c>
      <c r="BH23" s="11">
        <v>0</v>
      </c>
      <c r="BI23" s="11">
        <f t="shared" si="20"/>
        <v>0</v>
      </c>
      <c r="BJ23" s="14">
        <v>0</v>
      </c>
      <c r="BK23" s="14">
        <f t="shared" si="21"/>
        <v>0</v>
      </c>
      <c r="BL23" s="15">
        <v>0</v>
      </c>
      <c r="BM23" s="16">
        <f t="shared" si="22"/>
        <v>0</v>
      </c>
      <c r="BN23" s="16">
        <f t="shared" si="23"/>
        <v>0</v>
      </c>
      <c r="BO23" s="17">
        <v>0</v>
      </c>
      <c r="BP23" s="14">
        <f t="shared" si="24"/>
        <v>0</v>
      </c>
      <c r="BQ23" s="14">
        <f t="shared" si="48"/>
        <v>0</v>
      </c>
      <c r="BR23" s="16">
        <f t="shared" si="61"/>
        <v>0</v>
      </c>
      <c r="BS23" s="18">
        <v>3.0512000000000001</v>
      </c>
      <c r="BT23" s="18">
        <f t="shared" si="76"/>
        <v>0</v>
      </c>
      <c r="BU23" s="57">
        <f t="shared" si="62"/>
        <v>5639000</v>
      </c>
      <c r="BV23" s="57">
        <f t="shared" si="63"/>
        <v>67668000</v>
      </c>
      <c r="BW23" s="58">
        <f t="shared" si="64"/>
        <v>2746193000</v>
      </c>
      <c r="BX23" s="58">
        <f t="shared" si="65"/>
        <v>32954316000</v>
      </c>
      <c r="BY23" s="57">
        <f t="shared" si="66"/>
        <v>40194.792000000001</v>
      </c>
      <c r="BZ23" s="68">
        <v>4.9299999999999997E-2</v>
      </c>
      <c r="CA23" s="69" t="s">
        <v>106</v>
      </c>
      <c r="CB23" s="68" t="s">
        <v>106</v>
      </c>
      <c r="CC23" s="68" t="s">
        <v>106</v>
      </c>
      <c r="CD23" s="68" t="s">
        <v>106</v>
      </c>
      <c r="CE23" s="77" t="s">
        <v>106</v>
      </c>
      <c r="CF23" s="73">
        <f t="shared" si="72"/>
        <v>4.9299999999999997E-2</v>
      </c>
      <c r="CG23" s="74">
        <f t="shared" si="67"/>
        <v>3336032.4</v>
      </c>
      <c r="CH23" s="75">
        <f t="shared" si="68"/>
        <v>1624647778.8</v>
      </c>
      <c r="CI23" s="74">
        <f t="shared" si="69"/>
        <v>1981.6032456</v>
      </c>
    </row>
    <row r="24" spans="1:87" ht="30">
      <c r="A24" s="23">
        <v>3</v>
      </c>
      <c r="B24" s="23">
        <v>2021</v>
      </c>
      <c r="C24" s="23" t="s">
        <v>165</v>
      </c>
      <c r="D24" s="23" t="s">
        <v>166</v>
      </c>
      <c r="E24" s="23" t="s">
        <v>157</v>
      </c>
      <c r="F24" s="23" t="s">
        <v>167</v>
      </c>
      <c r="G24" s="226" t="s">
        <v>168</v>
      </c>
      <c r="H24" s="1">
        <v>32464</v>
      </c>
      <c r="I24" s="55" t="s">
        <v>169</v>
      </c>
      <c r="J24" s="1">
        <v>1797173.38</v>
      </c>
      <c r="K24" s="1">
        <f t="shared" si="50"/>
        <v>21566080.559999999</v>
      </c>
      <c r="L24" s="24">
        <f t="shared" si="73"/>
        <v>55.358963159191717</v>
      </c>
      <c r="M24" s="19">
        <v>408.96</v>
      </c>
      <c r="N24" s="2">
        <f t="shared" si="51"/>
        <v>734972025.48479986</v>
      </c>
      <c r="O24" s="2">
        <f t="shared" si="52"/>
        <v>8819664305.8175983</v>
      </c>
      <c r="P24" s="91">
        <v>0.48799999999999999</v>
      </c>
      <c r="Q24" s="1">
        <f t="shared" si="71"/>
        <v>10524.247313279999</v>
      </c>
      <c r="R24" s="49">
        <v>150077</v>
      </c>
      <c r="S24" s="49">
        <f t="shared" si="1"/>
        <v>1800924</v>
      </c>
      <c r="T24" s="36">
        <v>932.47</v>
      </c>
      <c r="U24" s="66">
        <f>+T24*R24</f>
        <v>139942300.19</v>
      </c>
      <c r="V24" s="66">
        <f t="shared" si="3"/>
        <v>1679307602.28</v>
      </c>
      <c r="W24" s="67">
        <v>37465.199999999997</v>
      </c>
      <c r="X24" s="35">
        <f t="shared" si="53"/>
        <v>1561851.3389999999</v>
      </c>
      <c r="Y24" s="35">
        <f>+X24*12</f>
        <v>18742216.068</v>
      </c>
      <c r="Z24" s="66">
        <f t="shared" si="5"/>
        <v>89.600269049678104</v>
      </c>
      <c r="AA24" s="90">
        <v>2.1907999999999999</v>
      </c>
      <c r="AB24" s="35">
        <f t="shared" si="54"/>
        <v>3945.4642991999999</v>
      </c>
      <c r="AC24" s="27">
        <v>0</v>
      </c>
      <c r="AD24" s="27">
        <f t="shared" si="6"/>
        <v>0</v>
      </c>
      <c r="AE24" s="30">
        <v>0</v>
      </c>
      <c r="AF24" s="31">
        <f t="shared" si="7"/>
        <v>0</v>
      </c>
      <c r="AG24" s="31">
        <f t="shared" si="8"/>
        <v>0</v>
      </c>
      <c r="AH24" s="32">
        <v>0</v>
      </c>
      <c r="AI24" s="27">
        <f t="shared" si="55"/>
        <v>0</v>
      </c>
      <c r="AJ24" s="27">
        <f t="shared" si="9"/>
        <v>0</v>
      </c>
      <c r="AK24" s="31">
        <f t="shared" si="10"/>
        <v>0</v>
      </c>
      <c r="AL24" s="27">
        <v>2538.8139999999999</v>
      </c>
      <c r="AM24" s="27">
        <f t="shared" si="56"/>
        <v>0</v>
      </c>
      <c r="AN24" s="42">
        <v>0</v>
      </c>
      <c r="AO24" s="43">
        <f t="shared" si="11"/>
        <v>0</v>
      </c>
      <c r="AP24" s="43">
        <v>0</v>
      </c>
      <c r="AQ24" s="44">
        <f t="shared" si="12"/>
        <v>0</v>
      </c>
      <c r="AR24" s="44">
        <f t="shared" si="13"/>
        <v>0</v>
      </c>
      <c r="AS24" s="45">
        <v>0</v>
      </c>
      <c r="AT24" s="42">
        <f t="shared" si="14"/>
        <v>0</v>
      </c>
      <c r="AU24" s="42">
        <f t="shared" si="57"/>
        <v>0</v>
      </c>
      <c r="AV24" s="44">
        <f t="shared" si="58"/>
        <v>0</v>
      </c>
      <c r="AW24" s="46">
        <v>10.178100000000001</v>
      </c>
      <c r="AX24" s="47">
        <f t="shared" si="59"/>
        <v>0</v>
      </c>
      <c r="AY24" s="7">
        <v>0</v>
      </c>
      <c r="AZ24" s="8">
        <f t="shared" si="15"/>
        <v>0</v>
      </c>
      <c r="BA24" s="8">
        <v>0</v>
      </c>
      <c r="BB24" s="9">
        <f t="shared" si="16"/>
        <v>0</v>
      </c>
      <c r="BC24" s="9">
        <f t="shared" si="17"/>
        <v>0</v>
      </c>
      <c r="BD24" s="10">
        <v>0</v>
      </c>
      <c r="BE24" s="7">
        <f t="shared" si="74"/>
        <v>0</v>
      </c>
      <c r="BF24" s="7">
        <f t="shared" si="18"/>
        <v>0</v>
      </c>
      <c r="BG24" s="9">
        <f t="shared" si="19"/>
        <v>0</v>
      </c>
      <c r="BH24" s="11">
        <v>0</v>
      </c>
      <c r="BI24" s="11">
        <f t="shared" si="20"/>
        <v>0</v>
      </c>
      <c r="BJ24" s="14">
        <v>0</v>
      </c>
      <c r="BK24" s="14">
        <f t="shared" si="21"/>
        <v>0</v>
      </c>
      <c r="BL24" s="15">
        <v>0</v>
      </c>
      <c r="BM24" s="16">
        <f t="shared" si="22"/>
        <v>0</v>
      </c>
      <c r="BN24" s="16">
        <f t="shared" si="23"/>
        <v>0</v>
      </c>
      <c r="BO24" s="17">
        <v>0</v>
      </c>
      <c r="BP24" s="14">
        <f t="shared" si="24"/>
        <v>0</v>
      </c>
      <c r="BQ24" s="14">
        <f t="shared" si="48"/>
        <v>0</v>
      </c>
      <c r="BR24" s="16">
        <f t="shared" si="61"/>
        <v>0</v>
      </c>
      <c r="BS24" s="18">
        <v>3.0512000000000001</v>
      </c>
      <c r="BT24" s="18">
        <f t="shared" si="76"/>
        <v>0</v>
      </c>
      <c r="BU24" s="57">
        <f t="shared" si="62"/>
        <v>3359024.7189999996</v>
      </c>
      <c r="BV24" s="57">
        <f t="shared" si="63"/>
        <v>40308296.627999991</v>
      </c>
      <c r="BW24" s="58">
        <f t="shared" si="64"/>
        <v>874914325.67479992</v>
      </c>
      <c r="BX24" s="58">
        <f t="shared" si="65"/>
        <v>10498971908.097599</v>
      </c>
      <c r="BY24" s="57">
        <f t="shared" si="66"/>
        <v>14469.711612479998</v>
      </c>
      <c r="BZ24" s="68">
        <v>9.2999999999999992E-3</v>
      </c>
      <c r="CA24" s="68">
        <v>2.5999999999999999E-2</v>
      </c>
      <c r="CB24" s="68" t="s">
        <v>106</v>
      </c>
      <c r="CC24" s="68" t="s">
        <v>106</v>
      </c>
      <c r="CD24" s="68" t="s">
        <v>106</v>
      </c>
      <c r="CE24" s="77" t="s">
        <v>106</v>
      </c>
      <c r="CF24" s="73">
        <f t="shared" si="72"/>
        <v>1.7065026918011199E-2</v>
      </c>
      <c r="CG24" s="74">
        <f t="shared" si="67"/>
        <v>687862.16697599995</v>
      </c>
      <c r="CH24" s="75">
        <f t="shared" si="68"/>
        <v>125684875.70338365</v>
      </c>
      <c r="CI24" s="74">
        <f t="shared" si="69"/>
        <v>200.45757179270396</v>
      </c>
    </row>
    <row r="25" spans="1:87" ht="37.9" customHeight="1">
      <c r="A25" s="23">
        <v>3</v>
      </c>
      <c r="B25" s="23">
        <v>2021</v>
      </c>
      <c r="C25" s="23" t="s">
        <v>165</v>
      </c>
      <c r="D25" s="23" t="s">
        <v>170</v>
      </c>
      <c r="E25" s="23" t="s">
        <v>163</v>
      </c>
      <c r="F25" s="23" t="s">
        <v>167</v>
      </c>
      <c r="G25" s="226" t="s">
        <v>171</v>
      </c>
      <c r="H25" s="1">
        <v>2076.1689999999999</v>
      </c>
      <c r="I25" s="54" t="s">
        <v>172</v>
      </c>
      <c r="J25" s="1">
        <v>263053</v>
      </c>
      <c r="K25" s="1">
        <f t="shared" si="50"/>
        <v>3156636</v>
      </c>
      <c r="L25" s="24">
        <f t="shared" si="73"/>
        <v>126.70115005088701</v>
      </c>
      <c r="M25" s="86">
        <v>455</v>
      </c>
      <c r="N25" s="66">
        <f t="shared" si="51"/>
        <v>119689115</v>
      </c>
      <c r="O25" s="66">
        <f t="shared" si="52"/>
        <v>1436269380</v>
      </c>
      <c r="P25" s="52">
        <v>0.41</v>
      </c>
      <c r="Q25" s="1">
        <f t="shared" si="71"/>
        <v>1294.2207599999999</v>
      </c>
      <c r="R25" s="35">
        <v>45114</v>
      </c>
      <c r="S25" s="35">
        <f t="shared" si="1"/>
        <v>541368</v>
      </c>
      <c r="T25" s="87">
        <v>1000</v>
      </c>
      <c r="U25" s="66">
        <f>+T25*R25</f>
        <v>45114000</v>
      </c>
      <c r="V25" s="66">
        <f t="shared" si="3"/>
        <v>541368000</v>
      </c>
      <c r="W25" s="88">
        <v>35652</v>
      </c>
      <c r="X25" s="49">
        <f t="shared" ref="X25:X32" si="117">+R25*W25/3600</f>
        <v>446778.98</v>
      </c>
      <c r="Y25" s="49">
        <f t="shared" si="4"/>
        <v>5361347.76</v>
      </c>
      <c r="Z25" s="66">
        <f t="shared" si="5"/>
        <v>100.97610232245036</v>
      </c>
      <c r="AA25" s="90">
        <v>2.1907999999999999</v>
      </c>
      <c r="AB25" s="35">
        <f t="shared" si="54"/>
        <v>1186.0290144000001</v>
      </c>
      <c r="AC25" s="27">
        <v>0</v>
      </c>
      <c r="AD25" s="27">
        <f t="shared" si="6"/>
        <v>0</v>
      </c>
      <c r="AE25" s="30">
        <v>0</v>
      </c>
      <c r="AF25" s="31">
        <f t="shared" si="7"/>
        <v>0</v>
      </c>
      <c r="AG25" s="31">
        <f t="shared" si="8"/>
        <v>0</v>
      </c>
      <c r="AH25" s="32">
        <v>0</v>
      </c>
      <c r="AI25" s="27">
        <f t="shared" si="55"/>
        <v>0</v>
      </c>
      <c r="AJ25" s="27">
        <f t="shared" si="9"/>
        <v>0</v>
      </c>
      <c r="AK25" s="31">
        <f t="shared" si="10"/>
        <v>0</v>
      </c>
      <c r="AL25" s="27">
        <v>2538.8139999999999</v>
      </c>
      <c r="AM25" s="27">
        <f t="shared" si="56"/>
        <v>0</v>
      </c>
      <c r="AN25" s="42">
        <v>0</v>
      </c>
      <c r="AO25" s="43">
        <f t="shared" si="11"/>
        <v>0</v>
      </c>
      <c r="AP25" s="43">
        <v>0</v>
      </c>
      <c r="AQ25" s="44">
        <f t="shared" si="12"/>
        <v>0</v>
      </c>
      <c r="AR25" s="44">
        <f t="shared" si="13"/>
        <v>0</v>
      </c>
      <c r="AS25" s="45">
        <v>0</v>
      </c>
      <c r="AT25" s="42">
        <f t="shared" si="14"/>
        <v>0</v>
      </c>
      <c r="AU25" s="42">
        <f t="shared" si="57"/>
        <v>0</v>
      </c>
      <c r="AV25" s="44">
        <f t="shared" si="58"/>
        <v>0</v>
      </c>
      <c r="AW25" s="46">
        <v>10.178100000000001</v>
      </c>
      <c r="AX25" s="47">
        <f t="shared" si="59"/>
        <v>0</v>
      </c>
      <c r="AY25" s="7">
        <v>0</v>
      </c>
      <c r="AZ25" s="8">
        <f t="shared" si="15"/>
        <v>0</v>
      </c>
      <c r="BA25" s="8">
        <v>0</v>
      </c>
      <c r="BB25" s="9">
        <f t="shared" si="16"/>
        <v>0</v>
      </c>
      <c r="BC25" s="9">
        <f t="shared" si="17"/>
        <v>0</v>
      </c>
      <c r="BD25" s="10">
        <v>0</v>
      </c>
      <c r="BE25" s="7">
        <f t="shared" si="74"/>
        <v>0</v>
      </c>
      <c r="BF25" s="7">
        <f t="shared" si="18"/>
        <v>0</v>
      </c>
      <c r="BG25" s="9">
        <f t="shared" si="19"/>
        <v>0</v>
      </c>
      <c r="BH25" s="11">
        <v>0</v>
      </c>
      <c r="BI25" s="11">
        <f t="shared" si="20"/>
        <v>0</v>
      </c>
      <c r="BJ25" s="14">
        <v>0</v>
      </c>
      <c r="BK25" s="14">
        <f t="shared" si="21"/>
        <v>0</v>
      </c>
      <c r="BL25" s="15">
        <v>0</v>
      </c>
      <c r="BM25" s="16">
        <f t="shared" si="22"/>
        <v>0</v>
      </c>
      <c r="BN25" s="16">
        <f t="shared" si="23"/>
        <v>0</v>
      </c>
      <c r="BO25" s="17">
        <v>0</v>
      </c>
      <c r="BP25" s="14">
        <f t="shared" si="24"/>
        <v>0</v>
      </c>
      <c r="BQ25" s="14">
        <f t="shared" si="48"/>
        <v>0</v>
      </c>
      <c r="BR25" s="16">
        <f t="shared" si="61"/>
        <v>0</v>
      </c>
      <c r="BS25" s="18">
        <v>3.0512000000000001</v>
      </c>
      <c r="BT25" s="18">
        <f t="shared" si="76"/>
        <v>0</v>
      </c>
      <c r="BU25" s="57">
        <f t="shared" si="62"/>
        <v>709831.98</v>
      </c>
      <c r="BV25" s="57">
        <f t="shared" si="63"/>
        <v>8517983.7599999998</v>
      </c>
      <c r="BW25" s="58">
        <f t="shared" si="64"/>
        <v>164803115</v>
      </c>
      <c r="BX25" s="58">
        <f t="shared" si="65"/>
        <v>1977637380</v>
      </c>
      <c r="BY25" s="57">
        <f t="shared" si="66"/>
        <v>2480.2497744000002</v>
      </c>
      <c r="BZ25" s="89"/>
      <c r="CA25" s="89"/>
      <c r="CB25" s="68" t="s">
        <v>106</v>
      </c>
      <c r="CC25" s="68" t="s">
        <v>106</v>
      </c>
      <c r="CD25" s="68" t="s">
        <v>106</v>
      </c>
      <c r="CE25" s="77" t="s">
        <v>106</v>
      </c>
      <c r="CF25" s="73">
        <f t="shared" si="72"/>
        <v>0</v>
      </c>
      <c r="CG25" s="74">
        <f t="shared" si="67"/>
        <v>0</v>
      </c>
      <c r="CH25" s="75">
        <f t="shared" si="68"/>
        <v>0</v>
      </c>
      <c r="CI25" s="74">
        <f t="shared" si="69"/>
        <v>0</v>
      </c>
    </row>
    <row r="26" spans="1:87" ht="34.9" customHeight="1">
      <c r="A26" s="92">
        <v>3</v>
      </c>
      <c r="B26" s="92">
        <v>2021</v>
      </c>
      <c r="C26" s="92" t="s">
        <v>165</v>
      </c>
      <c r="D26" s="92" t="s">
        <v>173</v>
      </c>
      <c r="E26" s="92" t="s">
        <v>113</v>
      </c>
      <c r="F26" s="92" t="s">
        <v>174</v>
      </c>
      <c r="G26" s="227" t="s">
        <v>175</v>
      </c>
      <c r="H26" s="93">
        <v>6833428.5499999998</v>
      </c>
      <c r="I26" s="94" t="s">
        <v>176</v>
      </c>
      <c r="J26" s="93">
        <v>648661</v>
      </c>
      <c r="K26" s="93">
        <f t="shared" si="50"/>
        <v>7783932</v>
      </c>
      <c r="L26" s="95">
        <f t="shared" si="73"/>
        <v>9.4924677305655014E-2</v>
      </c>
      <c r="M26" s="204">
        <v>385.86</v>
      </c>
      <c r="N26" s="205">
        <f t="shared" si="51"/>
        <v>250292333.46000001</v>
      </c>
      <c r="O26" s="205">
        <f t="shared" si="52"/>
        <v>3003508001.52</v>
      </c>
      <c r="P26" s="206">
        <v>0.41</v>
      </c>
      <c r="Q26" s="93">
        <f t="shared" si="71"/>
        <v>3191.4121199999995</v>
      </c>
      <c r="R26" s="99">
        <v>303730.06</v>
      </c>
      <c r="S26" s="99">
        <f>+R26*12</f>
        <v>3644760.7199999997</v>
      </c>
      <c r="T26" s="207">
        <v>952.29</v>
      </c>
      <c r="U26" s="208">
        <f>+T26*R26</f>
        <v>289239098.83739996</v>
      </c>
      <c r="V26" s="208">
        <f t="shared" si="3"/>
        <v>3470869186.0487995</v>
      </c>
      <c r="W26" s="100">
        <v>35652</v>
      </c>
      <c r="X26" s="99">
        <f t="shared" si="117"/>
        <v>3007940.0275333337</v>
      </c>
      <c r="Y26" s="99">
        <f t="shared" si="4"/>
        <v>36095280.330400005</v>
      </c>
      <c r="Z26" s="208">
        <f t="shared" si="5"/>
        <v>96.158532480646215</v>
      </c>
      <c r="AA26" s="209">
        <v>2.6</v>
      </c>
      <c r="AB26" s="99">
        <f t="shared" si="54"/>
        <v>9476.3778719999991</v>
      </c>
      <c r="AC26" s="103">
        <v>0</v>
      </c>
      <c r="AD26" s="103">
        <f t="shared" si="6"/>
        <v>0</v>
      </c>
      <c r="AE26" s="104">
        <v>0</v>
      </c>
      <c r="AF26" s="105">
        <f t="shared" si="7"/>
        <v>0</v>
      </c>
      <c r="AG26" s="105">
        <f t="shared" si="8"/>
        <v>0</v>
      </c>
      <c r="AH26" s="106">
        <v>0</v>
      </c>
      <c r="AI26" s="103">
        <f t="shared" si="55"/>
        <v>0</v>
      </c>
      <c r="AJ26" s="103">
        <f t="shared" si="9"/>
        <v>0</v>
      </c>
      <c r="AK26" s="105">
        <f t="shared" si="10"/>
        <v>0</v>
      </c>
      <c r="AL26" s="103">
        <v>2538.8139999999999</v>
      </c>
      <c r="AM26" s="103">
        <f t="shared" si="56"/>
        <v>0</v>
      </c>
      <c r="AN26" s="107">
        <v>0</v>
      </c>
      <c r="AO26" s="108">
        <f t="shared" si="11"/>
        <v>0</v>
      </c>
      <c r="AP26" s="108">
        <v>0</v>
      </c>
      <c r="AQ26" s="109">
        <f t="shared" si="12"/>
        <v>0</v>
      </c>
      <c r="AR26" s="109">
        <f t="shared" si="13"/>
        <v>0</v>
      </c>
      <c r="AS26" s="110">
        <v>0</v>
      </c>
      <c r="AT26" s="107">
        <f t="shared" si="14"/>
        <v>0</v>
      </c>
      <c r="AU26" s="107">
        <f t="shared" si="57"/>
        <v>0</v>
      </c>
      <c r="AV26" s="109">
        <f t="shared" si="58"/>
        <v>0</v>
      </c>
      <c r="AW26" s="111">
        <v>10.178100000000001</v>
      </c>
      <c r="AX26" s="112">
        <f t="shared" si="59"/>
        <v>0</v>
      </c>
      <c r="AY26" s="113">
        <v>0</v>
      </c>
      <c r="AZ26" s="114">
        <f t="shared" si="15"/>
        <v>0</v>
      </c>
      <c r="BA26" s="114">
        <v>0</v>
      </c>
      <c r="BB26" s="115">
        <f t="shared" si="16"/>
        <v>0</v>
      </c>
      <c r="BC26" s="115">
        <f t="shared" si="17"/>
        <v>0</v>
      </c>
      <c r="BD26" s="116">
        <v>0</v>
      </c>
      <c r="BE26" s="113">
        <f t="shared" si="74"/>
        <v>0</v>
      </c>
      <c r="BF26" s="113">
        <f t="shared" si="18"/>
        <v>0</v>
      </c>
      <c r="BG26" s="115">
        <f t="shared" si="19"/>
        <v>0</v>
      </c>
      <c r="BH26" s="117">
        <v>0</v>
      </c>
      <c r="BI26" s="117">
        <f t="shared" si="20"/>
        <v>0</v>
      </c>
      <c r="BJ26" s="118">
        <v>0</v>
      </c>
      <c r="BK26" s="118">
        <f t="shared" si="21"/>
        <v>0</v>
      </c>
      <c r="BL26" s="119">
        <v>0</v>
      </c>
      <c r="BM26" s="120">
        <f t="shared" si="22"/>
        <v>0</v>
      </c>
      <c r="BN26" s="120">
        <f t="shared" si="23"/>
        <v>0</v>
      </c>
      <c r="BO26" s="121">
        <v>0</v>
      </c>
      <c r="BP26" s="118">
        <f t="shared" si="24"/>
        <v>0</v>
      </c>
      <c r="BQ26" s="118">
        <f t="shared" si="48"/>
        <v>0</v>
      </c>
      <c r="BR26" s="120">
        <f t="shared" si="61"/>
        <v>0</v>
      </c>
      <c r="BS26" s="122">
        <v>3.0512000000000001</v>
      </c>
      <c r="BT26" s="122">
        <f t="shared" si="76"/>
        <v>0</v>
      </c>
      <c r="BU26" s="123">
        <f t="shared" si="62"/>
        <v>3656601.0275333337</v>
      </c>
      <c r="BV26" s="123">
        <f t="shared" si="63"/>
        <v>43879212.330400005</v>
      </c>
      <c r="BW26" s="124">
        <f t="shared" si="64"/>
        <v>539531432.2974</v>
      </c>
      <c r="BX26" s="124">
        <f t="shared" si="65"/>
        <v>6474377187.5688</v>
      </c>
      <c r="BY26" s="123">
        <f t="shared" si="66"/>
        <v>12667.789991999998</v>
      </c>
      <c r="BZ26" s="125">
        <v>2.4400000000000002E-2</v>
      </c>
      <c r="CA26" s="125">
        <v>3.6999999999999998E-2</v>
      </c>
      <c r="CB26" s="125" t="s">
        <v>106</v>
      </c>
      <c r="CC26" s="125" t="s">
        <v>106</v>
      </c>
      <c r="CD26" s="125" t="s">
        <v>106</v>
      </c>
      <c r="CE26" s="126" t="s">
        <v>106</v>
      </c>
      <c r="CF26" s="127">
        <f t="shared" si="72"/>
        <v>3.4764828993248564E-2</v>
      </c>
      <c r="CG26" s="128">
        <f t="shared" si="67"/>
        <v>1525453.3130248</v>
      </c>
      <c r="CH26" s="129">
        <f t="shared" si="68"/>
        <v>201707755.1208936</v>
      </c>
      <c r="CI26" s="128">
        <f t="shared" si="69"/>
        <v>428.49643699199999</v>
      </c>
    </row>
    <row r="27" spans="1:87" ht="32.450000000000003" customHeight="1">
      <c r="A27" s="92">
        <v>3</v>
      </c>
      <c r="B27" s="92">
        <v>2021</v>
      </c>
      <c r="C27" s="92" t="s">
        <v>165</v>
      </c>
      <c r="D27" s="92" t="s">
        <v>177</v>
      </c>
      <c r="E27" s="92" t="s">
        <v>127</v>
      </c>
      <c r="F27" s="92" t="s">
        <v>178</v>
      </c>
      <c r="G27" s="227" t="s">
        <v>179</v>
      </c>
      <c r="H27" s="93">
        <v>286000</v>
      </c>
      <c r="I27" s="94" t="s">
        <v>180</v>
      </c>
      <c r="J27" s="93">
        <v>280800</v>
      </c>
      <c r="K27" s="93">
        <f t="shared" si="50"/>
        <v>3369600</v>
      </c>
      <c r="L27" s="95">
        <f t="shared" si="73"/>
        <v>0.98181818181818181</v>
      </c>
      <c r="M27" s="204">
        <f>N27/J27</f>
        <v>454.55458689458692</v>
      </c>
      <c r="N27" s="205">
        <f>O27/12</f>
        <v>127638928</v>
      </c>
      <c r="O27" s="205">
        <v>1531667136</v>
      </c>
      <c r="P27" s="206">
        <v>0.40100000000000002</v>
      </c>
      <c r="Q27" s="93">
        <f t="shared" si="71"/>
        <v>1351.2096000000001</v>
      </c>
      <c r="R27" s="101">
        <v>4463</v>
      </c>
      <c r="S27" s="101">
        <f t="shared" si="1"/>
        <v>53556</v>
      </c>
      <c r="T27" s="97">
        <v>2022</v>
      </c>
      <c r="U27" s="208">
        <f>+T27*R27</f>
        <v>9024186</v>
      </c>
      <c r="V27" s="208">
        <f t="shared" si="3"/>
        <v>108290232</v>
      </c>
      <c r="W27" s="212">
        <v>35652</v>
      </c>
      <c r="X27" s="99">
        <f t="shared" si="117"/>
        <v>44198.576666666668</v>
      </c>
      <c r="Y27" s="99">
        <f t="shared" si="4"/>
        <v>530382.92000000004</v>
      </c>
      <c r="Z27" s="208">
        <f t="shared" si="5"/>
        <v>204.17367889599461</v>
      </c>
      <c r="AA27" s="209">
        <v>1.84</v>
      </c>
      <c r="AB27" s="99">
        <f t="shared" si="54"/>
        <v>98.543040000000005</v>
      </c>
      <c r="AC27" s="103">
        <v>0</v>
      </c>
      <c r="AD27" s="103">
        <f t="shared" si="6"/>
        <v>0</v>
      </c>
      <c r="AE27" s="105">
        <v>0</v>
      </c>
      <c r="AF27" s="105">
        <f t="shared" si="7"/>
        <v>0</v>
      </c>
      <c r="AG27" s="105">
        <f t="shared" si="8"/>
        <v>0</v>
      </c>
      <c r="AH27" s="106">
        <v>0</v>
      </c>
      <c r="AI27" s="103">
        <f t="shared" si="55"/>
        <v>0</v>
      </c>
      <c r="AJ27" s="103">
        <f t="shared" si="9"/>
        <v>0</v>
      </c>
      <c r="AK27" s="105">
        <f t="shared" si="10"/>
        <v>0</v>
      </c>
      <c r="AL27" s="103">
        <v>2538.8139999999999</v>
      </c>
      <c r="AM27" s="103">
        <f t="shared" si="56"/>
        <v>0</v>
      </c>
      <c r="AN27" s="107">
        <v>0</v>
      </c>
      <c r="AO27" s="109">
        <f t="shared" si="11"/>
        <v>0</v>
      </c>
      <c r="AP27" s="109">
        <v>0</v>
      </c>
      <c r="AQ27" s="109">
        <f t="shared" si="12"/>
        <v>0</v>
      </c>
      <c r="AR27" s="109">
        <f t="shared" si="13"/>
        <v>0</v>
      </c>
      <c r="AS27" s="110">
        <v>0</v>
      </c>
      <c r="AT27" s="107">
        <f t="shared" si="14"/>
        <v>0</v>
      </c>
      <c r="AU27" s="107">
        <f t="shared" si="57"/>
        <v>0</v>
      </c>
      <c r="AV27" s="109">
        <f t="shared" si="58"/>
        <v>0</v>
      </c>
      <c r="AW27" s="111">
        <v>10.178100000000001</v>
      </c>
      <c r="AX27" s="112">
        <f t="shared" si="59"/>
        <v>0</v>
      </c>
      <c r="AY27" s="113">
        <v>0</v>
      </c>
      <c r="AZ27" s="115">
        <f t="shared" si="15"/>
        <v>0</v>
      </c>
      <c r="BA27" s="115">
        <v>0</v>
      </c>
      <c r="BB27" s="115">
        <f t="shared" si="16"/>
        <v>0</v>
      </c>
      <c r="BC27" s="115">
        <f t="shared" si="17"/>
        <v>0</v>
      </c>
      <c r="BD27" s="116">
        <v>0</v>
      </c>
      <c r="BE27" s="113">
        <f t="shared" si="74"/>
        <v>0</v>
      </c>
      <c r="BF27" s="113">
        <f t="shared" si="18"/>
        <v>0</v>
      </c>
      <c r="BG27" s="115">
        <f t="shared" si="19"/>
        <v>0</v>
      </c>
      <c r="BH27" s="117">
        <v>0</v>
      </c>
      <c r="BI27" s="117">
        <f t="shared" si="20"/>
        <v>0</v>
      </c>
      <c r="BJ27" s="118">
        <v>0</v>
      </c>
      <c r="BK27" s="118">
        <f t="shared" si="21"/>
        <v>0</v>
      </c>
      <c r="BL27" s="120">
        <v>0</v>
      </c>
      <c r="BM27" s="120">
        <f t="shared" si="22"/>
        <v>0</v>
      </c>
      <c r="BN27" s="120">
        <f t="shared" si="23"/>
        <v>0</v>
      </c>
      <c r="BO27" s="121">
        <v>0</v>
      </c>
      <c r="BP27" s="118">
        <f t="shared" si="24"/>
        <v>0</v>
      </c>
      <c r="BQ27" s="118">
        <f t="shared" si="48"/>
        <v>0</v>
      </c>
      <c r="BR27" s="120">
        <f t="shared" si="61"/>
        <v>0</v>
      </c>
      <c r="BS27" s="122">
        <v>3.0512000000000001</v>
      </c>
      <c r="BT27" s="122">
        <f t="shared" si="76"/>
        <v>0</v>
      </c>
      <c r="BU27" s="123">
        <f t="shared" si="62"/>
        <v>324998.57666666666</v>
      </c>
      <c r="BV27" s="123">
        <f t="shared" si="63"/>
        <v>3899982.92</v>
      </c>
      <c r="BW27" s="124">
        <f t="shared" si="64"/>
        <v>136663114</v>
      </c>
      <c r="BX27" s="124">
        <f t="shared" si="65"/>
        <v>1639957368</v>
      </c>
      <c r="BY27" s="123">
        <f t="shared" si="66"/>
        <v>1449.7526400000002</v>
      </c>
      <c r="BZ27" s="213"/>
      <c r="CA27" s="213"/>
      <c r="CB27" s="125" t="s">
        <v>106</v>
      </c>
      <c r="CC27" s="125" t="s">
        <v>106</v>
      </c>
      <c r="CD27" s="125" t="s">
        <v>106</v>
      </c>
      <c r="CE27" s="125" t="s">
        <v>106</v>
      </c>
      <c r="CF27" s="127">
        <f t="shared" si="72"/>
        <v>0</v>
      </c>
      <c r="CG27" s="128">
        <f t="shared" si="67"/>
        <v>0</v>
      </c>
      <c r="CH27" s="129">
        <f t="shared" si="68"/>
        <v>0</v>
      </c>
      <c r="CI27" s="128">
        <f t="shared" si="69"/>
        <v>0</v>
      </c>
    </row>
    <row r="28" spans="1:87" ht="37.9" customHeight="1">
      <c r="A28" s="92">
        <v>3</v>
      </c>
      <c r="B28" s="92">
        <v>2021</v>
      </c>
      <c r="C28" s="92" t="s">
        <v>165</v>
      </c>
      <c r="D28" s="92" t="s">
        <v>181</v>
      </c>
      <c r="E28" s="217" t="s">
        <v>182</v>
      </c>
      <c r="F28" s="92" t="s">
        <v>183</v>
      </c>
      <c r="G28" s="227" t="s">
        <v>184</v>
      </c>
      <c r="H28" s="101"/>
      <c r="I28" s="218"/>
      <c r="J28" s="101">
        <v>0</v>
      </c>
      <c r="K28" s="101">
        <f t="shared" si="50"/>
        <v>0</v>
      </c>
      <c r="L28" s="219" t="e">
        <f t="shared" si="73"/>
        <v>#DIV/0!</v>
      </c>
      <c r="M28" s="220">
        <v>0</v>
      </c>
      <c r="N28" s="97">
        <f t="shared" si="51"/>
        <v>0</v>
      </c>
      <c r="O28" s="97">
        <f t="shared" si="52"/>
        <v>0</v>
      </c>
      <c r="P28" s="98">
        <v>0.59399999999999997</v>
      </c>
      <c r="Q28" s="101">
        <f t="shared" si="71"/>
        <v>0</v>
      </c>
      <c r="R28" s="99">
        <v>0</v>
      </c>
      <c r="S28" s="99">
        <f t="shared" si="1"/>
        <v>0</v>
      </c>
      <c r="T28" s="208">
        <v>0</v>
      </c>
      <c r="U28" s="208">
        <f>+T28*R28</f>
        <v>0</v>
      </c>
      <c r="V28" s="208">
        <f>+U28*12</f>
        <v>0</v>
      </c>
      <c r="W28" s="212">
        <v>0</v>
      </c>
      <c r="X28" s="99">
        <f t="shared" si="117"/>
        <v>0</v>
      </c>
      <c r="Y28" s="99">
        <f t="shared" si="4"/>
        <v>0</v>
      </c>
      <c r="Z28" s="208">
        <f t="shared" si="5"/>
        <v>0</v>
      </c>
      <c r="AA28" s="209">
        <v>2.1907999999999999</v>
      </c>
      <c r="AB28" s="99">
        <f t="shared" si="54"/>
        <v>0</v>
      </c>
      <c r="AC28" s="103">
        <v>0</v>
      </c>
      <c r="AD28" s="103">
        <f t="shared" si="6"/>
        <v>0</v>
      </c>
      <c r="AE28" s="105">
        <v>0</v>
      </c>
      <c r="AF28" s="105">
        <f t="shared" si="7"/>
        <v>0</v>
      </c>
      <c r="AG28" s="105">
        <f t="shared" si="8"/>
        <v>0</v>
      </c>
      <c r="AH28" s="106">
        <v>0</v>
      </c>
      <c r="AI28" s="103">
        <f t="shared" si="55"/>
        <v>0</v>
      </c>
      <c r="AJ28" s="103">
        <f t="shared" si="9"/>
        <v>0</v>
      </c>
      <c r="AK28" s="105">
        <f t="shared" si="10"/>
        <v>0</v>
      </c>
      <c r="AL28" s="103">
        <v>2538.8139999999999</v>
      </c>
      <c r="AM28" s="103">
        <f t="shared" si="56"/>
        <v>0</v>
      </c>
      <c r="AN28" s="107">
        <v>0</v>
      </c>
      <c r="AO28" s="109">
        <f t="shared" si="11"/>
        <v>0</v>
      </c>
      <c r="AP28" s="109">
        <v>0</v>
      </c>
      <c r="AQ28" s="109">
        <f t="shared" si="12"/>
        <v>0</v>
      </c>
      <c r="AR28" s="109">
        <f t="shared" si="13"/>
        <v>0</v>
      </c>
      <c r="AS28" s="110">
        <v>0</v>
      </c>
      <c r="AT28" s="107">
        <f t="shared" si="14"/>
        <v>0</v>
      </c>
      <c r="AU28" s="107">
        <f t="shared" si="57"/>
        <v>0</v>
      </c>
      <c r="AV28" s="109">
        <f t="shared" si="58"/>
        <v>0</v>
      </c>
      <c r="AW28" s="111">
        <v>10.178100000000001</v>
      </c>
      <c r="AX28" s="112">
        <f t="shared" si="59"/>
        <v>0</v>
      </c>
      <c r="AY28" s="113">
        <v>0</v>
      </c>
      <c r="AZ28" s="115">
        <f t="shared" si="15"/>
        <v>0</v>
      </c>
      <c r="BA28" s="115">
        <v>0</v>
      </c>
      <c r="BB28" s="115">
        <f t="shared" si="16"/>
        <v>0</v>
      </c>
      <c r="BC28" s="115">
        <f t="shared" si="17"/>
        <v>0</v>
      </c>
      <c r="BD28" s="116">
        <v>0</v>
      </c>
      <c r="BE28" s="113">
        <f t="shared" si="74"/>
        <v>0</v>
      </c>
      <c r="BF28" s="113">
        <f t="shared" si="18"/>
        <v>0</v>
      </c>
      <c r="BG28" s="115">
        <f t="shared" si="19"/>
        <v>0</v>
      </c>
      <c r="BH28" s="117">
        <v>0</v>
      </c>
      <c r="BI28" s="117">
        <f t="shared" si="20"/>
        <v>0</v>
      </c>
      <c r="BJ28" s="118">
        <v>0</v>
      </c>
      <c r="BK28" s="118">
        <f t="shared" si="21"/>
        <v>0</v>
      </c>
      <c r="BL28" s="120">
        <v>0</v>
      </c>
      <c r="BM28" s="120">
        <f t="shared" si="22"/>
        <v>0</v>
      </c>
      <c r="BN28" s="120">
        <f t="shared" si="23"/>
        <v>0</v>
      </c>
      <c r="BO28" s="121">
        <v>0</v>
      </c>
      <c r="BP28" s="118">
        <f t="shared" si="24"/>
        <v>0</v>
      </c>
      <c r="BQ28" s="118">
        <f t="shared" si="48"/>
        <v>0</v>
      </c>
      <c r="BR28" s="120">
        <f t="shared" si="61"/>
        <v>0</v>
      </c>
      <c r="BS28" s="122">
        <v>3.0512000000000001</v>
      </c>
      <c r="BT28" s="122">
        <f t="shared" si="76"/>
        <v>0</v>
      </c>
      <c r="BU28" s="123">
        <f t="shared" si="62"/>
        <v>0</v>
      </c>
      <c r="BV28" s="123">
        <f t="shared" si="63"/>
        <v>0</v>
      </c>
      <c r="BW28" s="124">
        <f t="shared" si="64"/>
        <v>0</v>
      </c>
      <c r="BX28" s="124">
        <f t="shared" si="65"/>
        <v>0</v>
      </c>
      <c r="BY28" s="123">
        <f t="shared" si="66"/>
        <v>0</v>
      </c>
      <c r="BZ28" s="213"/>
      <c r="CA28" s="125" t="s">
        <v>106</v>
      </c>
      <c r="CB28" s="125" t="s">
        <v>106</v>
      </c>
      <c r="CC28" s="125" t="s">
        <v>106</v>
      </c>
      <c r="CD28" s="125" t="s">
        <v>106</v>
      </c>
      <c r="CE28" s="125" t="s">
        <v>106</v>
      </c>
      <c r="CF28" s="127">
        <f t="shared" si="72"/>
        <v>0</v>
      </c>
      <c r="CG28" s="128">
        <f t="shared" si="67"/>
        <v>0</v>
      </c>
      <c r="CH28" s="129">
        <f t="shared" si="68"/>
        <v>0</v>
      </c>
      <c r="CI28" s="128">
        <f t="shared" si="69"/>
        <v>0</v>
      </c>
    </row>
    <row r="29" spans="1:87" ht="39.6" customHeight="1">
      <c r="A29" s="92">
        <v>3</v>
      </c>
      <c r="B29" s="92">
        <v>2021</v>
      </c>
      <c r="C29" s="92" t="s">
        <v>165</v>
      </c>
      <c r="D29" s="92" t="s">
        <v>185</v>
      </c>
      <c r="E29" s="92" t="s">
        <v>113</v>
      </c>
      <c r="F29" s="92" t="s">
        <v>186</v>
      </c>
      <c r="G29" s="227" t="s">
        <v>187</v>
      </c>
      <c r="H29" s="221">
        <v>1981.49</v>
      </c>
      <c r="I29" s="94" t="s">
        <v>188</v>
      </c>
      <c r="J29" s="93">
        <f>K29/12</f>
        <v>251552.36081171245</v>
      </c>
      <c r="K29" s="93">
        <f>O29/M29</f>
        <v>3018628.3297405494</v>
      </c>
      <c r="L29" s="95">
        <f>+J29/H29</f>
        <v>126.95111295626647</v>
      </c>
      <c r="M29" s="204">
        <v>415.64800000000002</v>
      </c>
      <c r="N29" s="205">
        <f>O29/12</f>
        <v>104557235.66666667</v>
      </c>
      <c r="O29" s="205">
        <v>1254686828</v>
      </c>
      <c r="P29" s="206">
        <v>0.41</v>
      </c>
      <c r="Q29" s="93">
        <f t="shared" si="71"/>
        <v>1237.6376151936252</v>
      </c>
      <c r="R29" s="99">
        <v>69700.7</v>
      </c>
      <c r="S29" s="99">
        <f t="shared" si="1"/>
        <v>836408.39999999991</v>
      </c>
      <c r="T29" s="208">
        <f>U29/R29</f>
        <v>1128.2023434963112</v>
      </c>
      <c r="U29" s="208">
        <f>V29/12</f>
        <v>78636493.083333328</v>
      </c>
      <c r="V29" s="208">
        <v>943637917</v>
      </c>
      <c r="W29" s="99">
        <v>35652</v>
      </c>
      <c r="X29" s="99">
        <f t="shared" si="117"/>
        <v>690269.26566666667</v>
      </c>
      <c r="Y29" s="99">
        <f t="shared" si="4"/>
        <v>8283231.1880000001</v>
      </c>
      <c r="Z29" s="208">
        <f t="shared" si="5"/>
        <v>113.9214752773118</v>
      </c>
      <c r="AA29" s="209">
        <v>2.1907999999999999</v>
      </c>
      <c r="AB29" s="99">
        <f t="shared" si="54"/>
        <v>1832.4035227199997</v>
      </c>
      <c r="AC29" s="103">
        <v>0</v>
      </c>
      <c r="AD29" s="103">
        <f t="shared" si="6"/>
        <v>0</v>
      </c>
      <c r="AE29" s="105">
        <v>0</v>
      </c>
      <c r="AF29" s="105">
        <f t="shared" si="7"/>
        <v>0</v>
      </c>
      <c r="AG29" s="105">
        <f t="shared" si="8"/>
        <v>0</v>
      </c>
      <c r="AH29" s="106">
        <v>0</v>
      </c>
      <c r="AI29" s="103">
        <f t="shared" si="55"/>
        <v>0</v>
      </c>
      <c r="AJ29" s="103">
        <f t="shared" si="9"/>
        <v>0</v>
      </c>
      <c r="AK29" s="105">
        <f t="shared" si="10"/>
        <v>0</v>
      </c>
      <c r="AL29" s="103">
        <v>2538.8139999999999</v>
      </c>
      <c r="AM29" s="103">
        <f t="shared" si="56"/>
        <v>0</v>
      </c>
      <c r="AN29" s="107">
        <v>0</v>
      </c>
      <c r="AO29" s="109">
        <f t="shared" si="11"/>
        <v>0</v>
      </c>
      <c r="AP29" s="109">
        <v>0</v>
      </c>
      <c r="AQ29" s="109">
        <f t="shared" si="12"/>
        <v>0</v>
      </c>
      <c r="AR29" s="109">
        <f t="shared" si="13"/>
        <v>0</v>
      </c>
      <c r="AS29" s="110">
        <v>0</v>
      </c>
      <c r="AT29" s="107">
        <f t="shared" si="14"/>
        <v>0</v>
      </c>
      <c r="AU29" s="107">
        <f t="shared" si="57"/>
        <v>0</v>
      </c>
      <c r="AV29" s="109">
        <f t="shared" si="58"/>
        <v>0</v>
      </c>
      <c r="AW29" s="111">
        <v>10.178100000000001</v>
      </c>
      <c r="AX29" s="112">
        <f t="shared" si="59"/>
        <v>0</v>
      </c>
      <c r="AY29" s="113">
        <v>0</v>
      </c>
      <c r="AZ29" s="115">
        <f t="shared" si="15"/>
        <v>0</v>
      </c>
      <c r="BA29" s="115">
        <v>0</v>
      </c>
      <c r="BB29" s="115">
        <f t="shared" si="16"/>
        <v>0</v>
      </c>
      <c r="BC29" s="115">
        <f t="shared" si="17"/>
        <v>0</v>
      </c>
      <c r="BD29" s="116">
        <v>0</v>
      </c>
      <c r="BE29" s="113">
        <f t="shared" si="74"/>
        <v>0</v>
      </c>
      <c r="BF29" s="113">
        <f t="shared" si="18"/>
        <v>0</v>
      </c>
      <c r="BG29" s="115">
        <f t="shared" si="19"/>
        <v>0</v>
      </c>
      <c r="BH29" s="117">
        <v>0</v>
      </c>
      <c r="BI29" s="117">
        <f t="shared" si="20"/>
        <v>0</v>
      </c>
      <c r="BJ29" s="118">
        <v>0</v>
      </c>
      <c r="BK29" s="118">
        <f t="shared" si="21"/>
        <v>0</v>
      </c>
      <c r="BL29" s="120">
        <v>0</v>
      </c>
      <c r="BM29" s="120">
        <f t="shared" si="22"/>
        <v>0</v>
      </c>
      <c r="BN29" s="120">
        <f t="shared" si="23"/>
        <v>0</v>
      </c>
      <c r="BO29" s="121">
        <v>0</v>
      </c>
      <c r="BP29" s="118">
        <f t="shared" si="24"/>
        <v>0</v>
      </c>
      <c r="BQ29" s="118">
        <f t="shared" si="48"/>
        <v>0</v>
      </c>
      <c r="BR29" s="120">
        <f t="shared" si="61"/>
        <v>0</v>
      </c>
      <c r="BS29" s="122">
        <v>3.0512000000000001</v>
      </c>
      <c r="BT29" s="122">
        <f t="shared" si="76"/>
        <v>0</v>
      </c>
      <c r="BU29" s="123">
        <f t="shared" si="62"/>
        <v>941821.62647837913</v>
      </c>
      <c r="BV29" s="123">
        <f t="shared" si="63"/>
        <v>11301859.51774055</v>
      </c>
      <c r="BW29" s="124">
        <f t="shared" si="64"/>
        <v>183193728.75</v>
      </c>
      <c r="BX29" s="124">
        <f t="shared" si="65"/>
        <v>2198324745</v>
      </c>
      <c r="BY29" s="123">
        <f t="shared" si="66"/>
        <v>3070.0411379136249</v>
      </c>
      <c r="BZ29" s="125">
        <v>3.44E-2</v>
      </c>
      <c r="CA29" s="125">
        <v>3.8300000000000001E-2</v>
      </c>
      <c r="CB29" s="125" t="s">
        <v>106</v>
      </c>
      <c r="CC29" s="125" t="s">
        <v>106</v>
      </c>
      <c r="CD29" s="125" t="s">
        <v>106</v>
      </c>
      <c r="CE29" s="125" t="s">
        <v>106</v>
      </c>
      <c r="CF29" s="127">
        <f t="shared" si="72"/>
        <v>3.7258343937339809E-2</v>
      </c>
      <c r="CG29" s="128">
        <f t="shared" si="67"/>
        <v>421088.56904347485</v>
      </c>
      <c r="CH29" s="129">
        <f t="shared" si="68"/>
        <v>79302559.104299992</v>
      </c>
      <c r="CI29" s="128">
        <f t="shared" si="69"/>
        <v>112.7557888828367</v>
      </c>
    </row>
    <row r="30" spans="1:87" ht="34.9" customHeight="1">
      <c r="A30" s="92">
        <v>3</v>
      </c>
      <c r="B30" s="92">
        <v>2021</v>
      </c>
      <c r="C30" s="92" t="s">
        <v>165</v>
      </c>
      <c r="D30" s="92" t="s">
        <v>189</v>
      </c>
      <c r="E30" s="92" t="s">
        <v>157</v>
      </c>
      <c r="F30" s="92" t="s">
        <v>190</v>
      </c>
      <c r="G30" s="227" t="s">
        <v>191</v>
      </c>
      <c r="H30" s="101">
        <v>195648.55</v>
      </c>
      <c r="I30" s="94" t="s">
        <v>192</v>
      </c>
      <c r="J30" s="93">
        <v>346988</v>
      </c>
      <c r="K30" s="93">
        <f t="shared" si="50"/>
        <v>4163856</v>
      </c>
      <c r="L30" s="219">
        <f>+J30/H30</f>
        <v>1.7735270718847649</v>
      </c>
      <c r="M30" s="204">
        <v>407.1</v>
      </c>
      <c r="N30" s="205">
        <f t="shared" si="51"/>
        <v>141258814.80000001</v>
      </c>
      <c r="O30" s="205">
        <f t="shared" si="52"/>
        <v>1695105777.6000001</v>
      </c>
      <c r="P30" s="222">
        <v>0.59399999999999997</v>
      </c>
      <c r="Q30" s="93">
        <f t="shared" si="71"/>
        <v>2473.3304639999997</v>
      </c>
      <c r="R30" s="99">
        <v>18903</v>
      </c>
      <c r="S30" s="99">
        <f t="shared" si="1"/>
        <v>226836</v>
      </c>
      <c r="T30" s="208">
        <v>1756</v>
      </c>
      <c r="U30" s="208">
        <f>+T30*R30</f>
        <v>33193668</v>
      </c>
      <c r="V30" s="208">
        <f t="shared" ref="V30:V53" si="118">+U30*12</f>
        <v>398324016</v>
      </c>
      <c r="W30" s="100">
        <v>39498</v>
      </c>
      <c r="X30" s="99">
        <f t="shared" si="117"/>
        <v>207397.41500000001</v>
      </c>
      <c r="Y30" s="99">
        <f t="shared" si="4"/>
        <v>2488768.98</v>
      </c>
      <c r="Z30" s="208">
        <f t="shared" si="5"/>
        <v>160.04861005620538</v>
      </c>
      <c r="AA30" s="102">
        <v>2.1907999999999999</v>
      </c>
      <c r="AB30" s="99">
        <f t="shared" si="54"/>
        <v>496.95230879999997</v>
      </c>
      <c r="AC30" s="103">
        <v>0</v>
      </c>
      <c r="AD30" s="103">
        <f t="shared" si="6"/>
        <v>0</v>
      </c>
      <c r="AE30" s="105">
        <v>0</v>
      </c>
      <c r="AF30" s="105">
        <f t="shared" si="7"/>
        <v>0</v>
      </c>
      <c r="AG30" s="105">
        <f t="shared" si="8"/>
        <v>0</v>
      </c>
      <c r="AH30" s="106">
        <v>0</v>
      </c>
      <c r="AI30" s="103">
        <f t="shared" si="55"/>
        <v>0</v>
      </c>
      <c r="AJ30" s="103">
        <f t="shared" si="9"/>
        <v>0</v>
      </c>
      <c r="AK30" s="105">
        <f t="shared" si="10"/>
        <v>0</v>
      </c>
      <c r="AL30" s="103">
        <v>2538.8139999999999</v>
      </c>
      <c r="AM30" s="103">
        <f t="shared" si="56"/>
        <v>0</v>
      </c>
      <c r="AN30" s="107">
        <v>0</v>
      </c>
      <c r="AO30" s="109">
        <f t="shared" si="11"/>
        <v>0</v>
      </c>
      <c r="AP30" s="109">
        <v>0</v>
      </c>
      <c r="AQ30" s="109">
        <f t="shared" si="12"/>
        <v>0</v>
      </c>
      <c r="AR30" s="109">
        <f t="shared" si="13"/>
        <v>0</v>
      </c>
      <c r="AS30" s="110">
        <v>0</v>
      </c>
      <c r="AT30" s="107">
        <f t="shared" si="14"/>
        <v>0</v>
      </c>
      <c r="AU30" s="107">
        <f t="shared" si="57"/>
        <v>0</v>
      </c>
      <c r="AV30" s="109">
        <f t="shared" si="58"/>
        <v>0</v>
      </c>
      <c r="AW30" s="111">
        <v>10.178100000000001</v>
      </c>
      <c r="AX30" s="112">
        <f t="shared" si="59"/>
        <v>0</v>
      </c>
      <c r="AY30" s="113">
        <v>0</v>
      </c>
      <c r="AZ30" s="115">
        <f t="shared" si="15"/>
        <v>0</v>
      </c>
      <c r="BA30" s="115">
        <v>0</v>
      </c>
      <c r="BB30" s="115">
        <f t="shared" si="16"/>
        <v>0</v>
      </c>
      <c r="BC30" s="115">
        <f t="shared" si="17"/>
        <v>0</v>
      </c>
      <c r="BD30" s="116">
        <v>0</v>
      </c>
      <c r="BE30" s="113">
        <f t="shared" si="74"/>
        <v>0</v>
      </c>
      <c r="BF30" s="113">
        <f t="shared" si="18"/>
        <v>0</v>
      </c>
      <c r="BG30" s="115">
        <f t="shared" si="19"/>
        <v>0</v>
      </c>
      <c r="BH30" s="117">
        <v>0</v>
      </c>
      <c r="BI30" s="117">
        <f t="shared" si="20"/>
        <v>0</v>
      </c>
      <c r="BJ30" s="118">
        <v>0</v>
      </c>
      <c r="BK30" s="118">
        <f t="shared" si="21"/>
        <v>0</v>
      </c>
      <c r="BL30" s="120">
        <v>0</v>
      </c>
      <c r="BM30" s="120">
        <f t="shared" si="22"/>
        <v>0</v>
      </c>
      <c r="BN30" s="120">
        <f t="shared" si="23"/>
        <v>0</v>
      </c>
      <c r="BO30" s="121">
        <v>0</v>
      </c>
      <c r="BP30" s="118">
        <f t="shared" si="24"/>
        <v>0</v>
      </c>
      <c r="BQ30" s="118">
        <f t="shared" si="48"/>
        <v>0</v>
      </c>
      <c r="BR30" s="120">
        <f t="shared" si="61"/>
        <v>0</v>
      </c>
      <c r="BS30" s="122">
        <v>3.0512000000000001</v>
      </c>
      <c r="BT30" s="122">
        <f t="shared" si="76"/>
        <v>0</v>
      </c>
      <c r="BU30" s="123">
        <f t="shared" si="62"/>
        <v>554385.41500000004</v>
      </c>
      <c r="BV30" s="123">
        <f t="shared" si="63"/>
        <v>6652624.9800000004</v>
      </c>
      <c r="BW30" s="124">
        <f t="shared" si="64"/>
        <v>174452482.80000001</v>
      </c>
      <c r="BX30" s="124">
        <f t="shared" si="65"/>
        <v>2093429793.6000001</v>
      </c>
      <c r="BY30" s="123">
        <f t="shared" si="66"/>
        <v>2970.2827727999997</v>
      </c>
      <c r="BZ30" s="213"/>
      <c r="CA30" s="213"/>
      <c r="CB30" s="125" t="s">
        <v>106</v>
      </c>
      <c r="CC30" s="125" t="s">
        <v>106</v>
      </c>
      <c r="CD30" s="125" t="s">
        <v>106</v>
      </c>
      <c r="CE30" s="125" t="s">
        <v>106</v>
      </c>
      <c r="CF30" s="127">
        <f t="shared" si="72"/>
        <v>0</v>
      </c>
      <c r="CG30" s="128">
        <f t="shared" si="67"/>
        <v>0</v>
      </c>
      <c r="CH30" s="129">
        <f t="shared" si="68"/>
        <v>0</v>
      </c>
      <c r="CI30" s="128">
        <f t="shared" si="69"/>
        <v>0</v>
      </c>
    </row>
    <row r="31" spans="1:87" ht="45.75">
      <c r="A31" s="92">
        <v>3</v>
      </c>
      <c r="B31" s="92">
        <v>2021</v>
      </c>
      <c r="C31" s="92" t="s">
        <v>165</v>
      </c>
      <c r="D31" s="92" t="s">
        <v>193</v>
      </c>
      <c r="E31" s="92" t="s">
        <v>113</v>
      </c>
      <c r="F31" s="92" t="s">
        <v>178</v>
      </c>
      <c r="G31" s="227" t="s">
        <v>194</v>
      </c>
      <c r="H31" s="221">
        <v>4789</v>
      </c>
      <c r="I31" s="94" t="s">
        <v>195</v>
      </c>
      <c r="J31" s="93">
        <v>269200</v>
      </c>
      <c r="K31" s="93">
        <f t="shared" si="50"/>
        <v>3230400</v>
      </c>
      <c r="L31" s="95">
        <f t="shared" si="73"/>
        <v>56.212152850281896</v>
      </c>
      <c r="M31" s="96">
        <v>416</v>
      </c>
      <c r="N31" s="97">
        <f t="shared" si="51"/>
        <v>111987200</v>
      </c>
      <c r="O31" s="97">
        <f t="shared" si="52"/>
        <v>1343846400</v>
      </c>
      <c r="P31" s="222">
        <v>0.59399999999999997</v>
      </c>
      <c r="Q31" s="93">
        <f t="shared" si="71"/>
        <v>1918.8575999999998</v>
      </c>
      <c r="R31" s="99">
        <v>0</v>
      </c>
      <c r="S31" s="99">
        <f t="shared" si="1"/>
        <v>0</v>
      </c>
      <c r="T31" s="208">
        <v>0</v>
      </c>
      <c r="U31" s="208">
        <f>+T31*R31</f>
        <v>0</v>
      </c>
      <c r="V31" s="208">
        <f t="shared" si="118"/>
        <v>0</v>
      </c>
      <c r="W31" s="212">
        <v>0</v>
      </c>
      <c r="X31" s="99">
        <f t="shared" si="117"/>
        <v>0</v>
      </c>
      <c r="Y31" s="99">
        <f t="shared" si="4"/>
        <v>0</v>
      </c>
      <c r="Z31" s="208">
        <f t="shared" si="5"/>
        <v>0</v>
      </c>
      <c r="AA31" s="209">
        <v>2.1907999999999999</v>
      </c>
      <c r="AB31" s="99">
        <f t="shared" si="54"/>
        <v>0</v>
      </c>
      <c r="AC31" s="103">
        <v>0</v>
      </c>
      <c r="AD31" s="103">
        <f t="shared" si="6"/>
        <v>0</v>
      </c>
      <c r="AE31" s="105">
        <v>0</v>
      </c>
      <c r="AF31" s="105">
        <f t="shared" si="7"/>
        <v>0</v>
      </c>
      <c r="AG31" s="105">
        <f t="shared" si="8"/>
        <v>0</v>
      </c>
      <c r="AH31" s="106">
        <v>0</v>
      </c>
      <c r="AI31" s="103">
        <f t="shared" si="55"/>
        <v>0</v>
      </c>
      <c r="AJ31" s="103">
        <f t="shared" si="9"/>
        <v>0</v>
      </c>
      <c r="AK31" s="105">
        <f t="shared" si="10"/>
        <v>0</v>
      </c>
      <c r="AL31" s="103">
        <v>2538.8139999999999</v>
      </c>
      <c r="AM31" s="103">
        <f t="shared" si="56"/>
        <v>0</v>
      </c>
      <c r="AN31" s="107">
        <v>0</v>
      </c>
      <c r="AO31" s="109">
        <f t="shared" si="11"/>
        <v>0</v>
      </c>
      <c r="AP31" s="109">
        <v>0</v>
      </c>
      <c r="AQ31" s="109">
        <f>+AP31*AN31</f>
        <v>0</v>
      </c>
      <c r="AR31" s="109">
        <f>+AQ31*12</f>
        <v>0</v>
      </c>
      <c r="AS31" s="110">
        <v>0</v>
      </c>
      <c r="AT31" s="107">
        <f>+(AN31*AS31)/3.6</f>
        <v>0</v>
      </c>
      <c r="AU31" s="107">
        <f t="shared" si="57"/>
        <v>0</v>
      </c>
      <c r="AV31" s="109">
        <f>IFERROR(AR31/AU31,0)</f>
        <v>0</v>
      </c>
      <c r="AW31" s="111">
        <v>10.178100000000001</v>
      </c>
      <c r="AX31" s="112">
        <f t="shared" si="59"/>
        <v>0</v>
      </c>
      <c r="AY31" s="101">
        <v>0</v>
      </c>
      <c r="AZ31" s="97">
        <f t="shared" si="15"/>
        <v>0</v>
      </c>
      <c r="BA31" s="97">
        <v>0</v>
      </c>
      <c r="BB31" s="97">
        <f t="shared" si="16"/>
        <v>0</v>
      </c>
      <c r="BC31" s="97">
        <f t="shared" si="17"/>
        <v>0</v>
      </c>
      <c r="BD31" s="223">
        <v>0</v>
      </c>
      <c r="BE31" s="101">
        <f t="shared" si="74"/>
        <v>0</v>
      </c>
      <c r="BF31" s="101">
        <f t="shared" si="18"/>
        <v>0</v>
      </c>
      <c r="BG31" s="97">
        <f t="shared" si="19"/>
        <v>0</v>
      </c>
      <c r="BH31" s="224">
        <v>0</v>
      </c>
      <c r="BI31" s="224">
        <f t="shared" si="20"/>
        <v>0</v>
      </c>
      <c r="BJ31" s="118">
        <v>0</v>
      </c>
      <c r="BK31" s="118">
        <f t="shared" si="21"/>
        <v>0</v>
      </c>
      <c r="BL31" s="120">
        <v>0</v>
      </c>
      <c r="BM31" s="120">
        <f t="shared" si="22"/>
        <v>0</v>
      </c>
      <c r="BN31" s="120">
        <f t="shared" si="23"/>
        <v>0</v>
      </c>
      <c r="BO31" s="121">
        <v>0</v>
      </c>
      <c r="BP31" s="118">
        <f t="shared" si="24"/>
        <v>0</v>
      </c>
      <c r="BQ31" s="118">
        <f t="shared" si="48"/>
        <v>0</v>
      </c>
      <c r="BR31" s="120">
        <f t="shared" si="61"/>
        <v>0</v>
      </c>
      <c r="BS31" s="122">
        <v>3.0512000000000001</v>
      </c>
      <c r="BT31" s="122">
        <f t="shared" si="76"/>
        <v>0</v>
      </c>
      <c r="BU31" s="123">
        <f t="shared" si="62"/>
        <v>269200</v>
      </c>
      <c r="BV31" s="123">
        <f t="shared" si="63"/>
        <v>3230400</v>
      </c>
      <c r="BW31" s="124">
        <f>N31+U31+AF31+AQ31+BB31+BM31</f>
        <v>111987200</v>
      </c>
      <c r="BX31" s="124">
        <f t="shared" si="65"/>
        <v>1343846400</v>
      </c>
      <c r="BY31" s="123">
        <f t="shared" si="66"/>
        <v>1918.8575999999998</v>
      </c>
      <c r="BZ31" s="213">
        <v>0.05</v>
      </c>
      <c r="CA31" s="125" t="s">
        <v>106</v>
      </c>
      <c r="CB31" s="125" t="s">
        <v>106</v>
      </c>
      <c r="CC31" s="125" t="s">
        <v>106</v>
      </c>
      <c r="CD31" s="213"/>
      <c r="CE31" s="125" t="s">
        <v>106</v>
      </c>
      <c r="CF31" s="127">
        <f t="shared" si="72"/>
        <v>0.05</v>
      </c>
      <c r="CG31" s="128">
        <f t="shared" si="67"/>
        <v>161520</v>
      </c>
      <c r="CH31" s="129">
        <f>IFERROR(BZ31*O31,0)+IFERROR(CA31*V31,0)+IFERROR(CB31*AG31,0)+IFERROR(CC31*AR31,0)+IFERROR(CD31*BC31,0)+IFERROR(CE31*BN31,0)</f>
        <v>67192320</v>
      </c>
      <c r="CI31" s="128">
        <f t="shared" si="69"/>
        <v>95.942880000000002</v>
      </c>
    </row>
    <row r="32" spans="1:87" ht="42.6" customHeight="1">
      <c r="A32" s="238">
        <v>3</v>
      </c>
      <c r="B32" s="238">
        <v>2021</v>
      </c>
      <c r="C32" s="238" t="s">
        <v>165</v>
      </c>
      <c r="D32" s="238" t="s">
        <v>196</v>
      </c>
      <c r="E32" s="238" t="s">
        <v>127</v>
      </c>
      <c r="F32" s="238" t="s">
        <v>183</v>
      </c>
      <c r="G32" s="239" t="s">
        <v>197</v>
      </c>
      <c r="H32" s="240">
        <v>119948</v>
      </c>
      <c r="I32" s="241" t="s">
        <v>198</v>
      </c>
      <c r="J32" s="242">
        <f>1645329/8</f>
        <v>205666.125</v>
      </c>
      <c r="K32" s="242">
        <f t="shared" si="50"/>
        <v>2467993.5</v>
      </c>
      <c r="L32" s="243">
        <f t="shared" si="73"/>
        <v>1.7146273801980858</v>
      </c>
      <c r="M32" s="244">
        <v>420</v>
      </c>
      <c r="N32" s="245">
        <f t="shared" si="51"/>
        <v>86379772.5</v>
      </c>
      <c r="O32" s="245">
        <f t="shared" si="52"/>
        <v>1036557270</v>
      </c>
      <c r="P32" s="246">
        <v>0.59399999999999997</v>
      </c>
      <c r="Q32" s="242">
        <f t="shared" si="71"/>
        <v>1465.988139</v>
      </c>
      <c r="R32" s="247">
        <v>0</v>
      </c>
      <c r="S32" s="247">
        <f t="shared" si="1"/>
        <v>0</v>
      </c>
      <c r="T32" s="248">
        <v>0</v>
      </c>
      <c r="U32" s="248">
        <f>+T32*R32</f>
        <v>0</v>
      </c>
      <c r="V32" s="248">
        <f t="shared" si="118"/>
        <v>0</v>
      </c>
      <c r="W32" s="249">
        <v>0</v>
      </c>
      <c r="X32" s="247">
        <f t="shared" si="117"/>
        <v>0</v>
      </c>
      <c r="Y32" s="247">
        <f t="shared" si="4"/>
        <v>0</v>
      </c>
      <c r="Z32" s="248">
        <f t="shared" si="5"/>
        <v>0</v>
      </c>
      <c r="AA32" s="250">
        <v>2.1907999999999999</v>
      </c>
      <c r="AB32" s="247">
        <f t="shared" si="54"/>
        <v>0</v>
      </c>
      <c r="AC32" s="251">
        <v>0</v>
      </c>
      <c r="AD32" s="251">
        <f t="shared" si="6"/>
        <v>0</v>
      </c>
      <c r="AE32" s="252">
        <v>0</v>
      </c>
      <c r="AF32" s="252">
        <f t="shared" si="7"/>
        <v>0</v>
      </c>
      <c r="AG32" s="252">
        <f t="shared" si="8"/>
        <v>0</v>
      </c>
      <c r="AH32" s="253">
        <v>0</v>
      </c>
      <c r="AI32" s="251">
        <f t="shared" si="55"/>
        <v>0</v>
      </c>
      <c r="AJ32" s="251">
        <f t="shared" si="9"/>
        <v>0</v>
      </c>
      <c r="AK32" s="252">
        <f t="shared" si="10"/>
        <v>0</v>
      </c>
      <c r="AL32" s="251">
        <v>2538.8139999999999</v>
      </c>
      <c r="AM32" s="251">
        <f t="shared" si="56"/>
        <v>0</v>
      </c>
      <c r="AN32" s="254">
        <v>0</v>
      </c>
      <c r="AO32" s="255">
        <f t="shared" si="11"/>
        <v>0</v>
      </c>
      <c r="AP32" s="255">
        <v>0</v>
      </c>
      <c r="AQ32" s="255">
        <f t="shared" si="12"/>
        <v>0</v>
      </c>
      <c r="AR32" s="255">
        <f t="shared" si="13"/>
        <v>0</v>
      </c>
      <c r="AS32" s="256">
        <v>0</v>
      </c>
      <c r="AT32" s="254">
        <f t="shared" si="14"/>
        <v>0</v>
      </c>
      <c r="AU32" s="254">
        <f t="shared" si="57"/>
        <v>0</v>
      </c>
      <c r="AV32" s="255">
        <f t="shared" si="58"/>
        <v>0</v>
      </c>
      <c r="AW32" s="257">
        <v>10.178100000000001</v>
      </c>
      <c r="AX32" s="258">
        <f t="shared" si="59"/>
        <v>0</v>
      </c>
      <c r="AY32" s="259">
        <v>0</v>
      </c>
      <c r="AZ32" s="260">
        <f t="shared" si="15"/>
        <v>0</v>
      </c>
      <c r="BA32" s="260">
        <v>0</v>
      </c>
      <c r="BB32" s="260">
        <f t="shared" si="16"/>
        <v>0</v>
      </c>
      <c r="BC32" s="260">
        <f t="shared" si="17"/>
        <v>0</v>
      </c>
      <c r="BD32" s="261">
        <v>0</v>
      </c>
      <c r="BE32" s="259">
        <f t="shared" si="74"/>
        <v>0</v>
      </c>
      <c r="BF32" s="259">
        <f t="shared" si="18"/>
        <v>0</v>
      </c>
      <c r="BG32" s="260">
        <f t="shared" si="19"/>
        <v>0</v>
      </c>
      <c r="BH32" s="262">
        <v>0</v>
      </c>
      <c r="BI32" s="262">
        <f t="shared" si="20"/>
        <v>0</v>
      </c>
      <c r="BJ32" s="263">
        <v>0</v>
      </c>
      <c r="BK32" s="263">
        <f t="shared" si="21"/>
        <v>0</v>
      </c>
      <c r="BL32" s="264">
        <v>0</v>
      </c>
      <c r="BM32" s="264">
        <f t="shared" si="22"/>
        <v>0</v>
      </c>
      <c r="BN32" s="264">
        <f t="shared" si="23"/>
        <v>0</v>
      </c>
      <c r="BO32" s="265">
        <v>0</v>
      </c>
      <c r="BP32" s="263">
        <f t="shared" si="24"/>
        <v>0</v>
      </c>
      <c r="BQ32" s="263">
        <f t="shared" si="48"/>
        <v>0</v>
      </c>
      <c r="BR32" s="264">
        <f t="shared" si="61"/>
        <v>0</v>
      </c>
      <c r="BS32" s="266">
        <v>3.0512000000000001</v>
      </c>
      <c r="BT32" s="266">
        <f t="shared" si="76"/>
        <v>0</v>
      </c>
      <c r="BU32" s="267">
        <f t="shared" si="62"/>
        <v>205666.125</v>
      </c>
      <c r="BV32" s="267">
        <f t="shared" si="63"/>
        <v>2467993.5</v>
      </c>
      <c r="BW32" s="268">
        <f t="shared" si="64"/>
        <v>86379772.5</v>
      </c>
      <c r="BX32" s="268">
        <f t="shared" si="65"/>
        <v>1036557270</v>
      </c>
      <c r="BY32" s="267">
        <f t="shared" si="66"/>
        <v>1465.988139</v>
      </c>
      <c r="BZ32" s="269">
        <v>2.69E-2</v>
      </c>
      <c r="CA32" s="269" t="s">
        <v>106</v>
      </c>
      <c r="CB32" s="269" t="s">
        <v>106</v>
      </c>
      <c r="CC32" s="269" t="s">
        <v>106</v>
      </c>
      <c r="CD32" s="269" t="s">
        <v>106</v>
      </c>
      <c r="CE32" s="269" t="s">
        <v>106</v>
      </c>
      <c r="CF32" s="270">
        <f t="shared" si="72"/>
        <v>2.69E-2</v>
      </c>
      <c r="CG32" s="271">
        <f t="shared" si="67"/>
        <v>66389.025150000001</v>
      </c>
      <c r="CH32" s="272">
        <f t="shared" si="68"/>
        <v>27883390.563000001</v>
      </c>
      <c r="CI32" s="271">
        <f t="shared" si="69"/>
        <v>39.435080939100004</v>
      </c>
    </row>
    <row r="33" spans="1:89" ht="21" customHeight="1">
      <c r="A33" s="130">
        <v>2</v>
      </c>
      <c r="B33" s="130">
        <v>2019</v>
      </c>
      <c r="C33" s="130" t="s">
        <v>101</v>
      </c>
      <c r="D33" s="130" t="s">
        <v>199</v>
      </c>
      <c r="E33" s="130" t="s">
        <v>200</v>
      </c>
      <c r="F33" s="130" t="s">
        <v>104</v>
      </c>
      <c r="G33" s="130" t="s">
        <v>110</v>
      </c>
      <c r="H33" s="214">
        <v>8367</v>
      </c>
      <c r="I33" s="132" t="s">
        <v>201</v>
      </c>
      <c r="J33" s="131">
        <v>137157</v>
      </c>
      <c r="K33" s="131">
        <f t="shared" si="50"/>
        <v>1645884</v>
      </c>
      <c r="L33" s="133">
        <f t="shared" si="73"/>
        <v>16.392613840086053</v>
      </c>
      <c r="M33" s="134">
        <v>378.58</v>
      </c>
      <c r="N33" s="135">
        <f t="shared" si="51"/>
        <v>51924897.059999995</v>
      </c>
      <c r="O33" s="135">
        <f t="shared" si="52"/>
        <v>623098764.71999991</v>
      </c>
      <c r="P33" s="225">
        <v>0.38</v>
      </c>
      <c r="Q33" s="131">
        <f t="shared" si="71"/>
        <v>625.43592000000001</v>
      </c>
      <c r="R33" s="140">
        <v>2051.3000000000002</v>
      </c>
      <c r="S33" s="140">
        <f>+R33*12</f>
        <v>24615.600000000002</v>
      </c>
      <c r="T33" s="137">
        <f>U33/R33</f>
        <v>989.75966460293466</v>
      </c>
      <c r="U33" s="138">
        <v>2030294</v>
      </c>
      <c r="V33" s="138">
        <f t="shared" si="118"/>
        <v>24363528</v>
      </c>
      <c r="W33" s="139">
        <f>(X33*3600)/R33</f>
        <v>44153.658655486761</v>
      </c>
      <c r="X33" s="140">
        <v>25159</v>
      </c>
      <c r="Y33" s="140">
        <f t="shared" si="4"/>
        <v>301908</v>
      </c>
      <c r="Z33" s="138">
        <f t="shared" si="5"/>
        <v>80.698517429150598</v>
      </c>
      <c r="AA33" s="141">
        <v>2.1907999999999999</v>
      </c>
      <c r="AB33" s="140">
        <f>+(S33*AA33)/1000</f>
        <v>53.927856480000003</v>
      </c>
      <c r="AC33" s="142">
        <v>0</v>
      </c>
      <c r="AD33" s="142">
        <f t="shared" si="6"/>
        <v>0</v>
      </c>
      <c r="AE33" s="143">
        <v>0</v>
      </c>
      <c r="AF33" s="144">
        <f t="shared" si="7"/>
        <v>0</v>
      </c>
      <c r="AG33" s="144">
        <f t="shared" si="8"/>
        <v>0</v>
      </c>
      <c r="AH33" s="145">
        <v>0</v>
      </c>
      <c r="AI33" s="142">
        <f t="shared" si="55"/>
        <v>0</v>
      </c>
      <c r="AJ33" s="142">
        <f t="shared" si="9"/>
        <v>0</v>
      </c>
      <c r="AK33" s="144">
        <f t="shared" si="10"/>
        <v>0</v>
      </c>
      <c r="AL33" s="142">
        <v>2538.8139999999999</v>
      </c>
      <c r="AM33" s="142">
        <f t="shared" si="56"/>
        <v>0</v>
      </c>
      <c r="AN33" s="146">
        <v>0</v>
      </c>
      <c r="AO33" s="147">
        <f t="shared" si="11"/>
        <v>0</v>
      </c>
      <c r="AP33" s="147">
        <v>0</v>
      </c>
      <c r="AQ33" s="148">
        <f t="shared" si="12"/>
        <v>0</v>
      </c>
      <c r="AR33" s="148">
        <f t="shared" si="13"/>
        <v>0</v>
      </c>
      <c r="AS33" s="149">
        <v>0</v>
      </c>
      <c r="AT33" s="146">
        <f t="shared" si="14"/>
        <v>0</v>
      </c>
      <c r="AU33" s="146">
        <f t="shared" si="57"/>
        <v>0</v>
      </c>
      <c r="AV33" s="148">
        <f t="shared" si="58"/>
        <v>0</v>
      </c>
      <c r="AW33" s="150">
        <v>10.178100000000001</v>
      </c>
      <c r="AX33" s="151">
        <f t="shared" si="59"/>
        <v>0</v>
      </c>
      <c r="AY33" s="152">
        <v>0</v>
      </c>
      <c r="AZ33" s="153">
        <f t="shared" si="15"/>
        <v>0</v>
      </c>
      <c r="BA33" s="153">
        <v>0</v>
      </c>
      <c r="BB33" s="154">
        <f t="shared" si="16"/>
        <v>0</v>
      </c>
      <c r="BC33" s="154">
        <f t="shared" si="17"/>
        <v>0</v>
      </c>
      <c r="BD33" s="155">
        <v>0</v>
      </c>
      <c r="BE33" s="152">
        <f t="shared" si="74"/>
        <v>0</v>
      </c>
      <c r="BF33" s="152">
        <f t="shared" si="18"/>
        <v>0</v>
      </c>
      <c r="BG33" s="154">
        <f t="shared" si="19"/>
        <v>0</v>
      </c>
      <c r="BH33" s="156">
        <v>0</v>
      </c>
      <c r="BI33" s="156">
        <f t="shared" si="20"/>
        <v>0</v>
      </c>
      <c r="BJ33" s="157">
        <v>0</v>
      </c>
      <c r="BK33" s="157">
        <f t="shared" si="21"/>
        <v>0</v>
      </c>
      <c r="BL33" s="158">
        <v>0</v>
      </c>
      <c r="BM33" s="159">
        <f t="shared" si="22"/>
        <v>0</v>
      </c>
      <c r="BN33" s="159">
        <f t="shared" si="23"/>
        <v>0</v>
      </c>
      <c r="BO33" s="160">
        <v>0</v>
      </c>
      <c r="BP33" s="157">
        <f t="shared" si="24"/>
        <v>0</v>
      </c>
      <c r="BQ33" s="157">
        <f t="shared" si="48"/>
        <v>0</v>
      </c>
      <c r="BR33" s="159">
        <f t="shared" si="61"/>
        <v>0</v>
      </c>
      <c r="BS33" s="161">
        <v>3.0512000000000001</v>
      </c>
      <c r="BT33" s="161">
        <f t="shared" si="76"/>
        <v>0</v>
      </c>
      <c r="BU33" s="162">
        <f t="shared" si="62"/>
        <v>162316</v>
      </c>
      <c r="BV33" s="162">
        <f t="shared" si="63"/>
        <v>1947792</v>
      </c>
      <c r="BW33" s="163">
        <f t="shared" si="64"/>
        <v>53955191.059999995</v>
      </c>
      <c r="BX33" s="163">
        <f t="shared" si="65"/>
        <v>647462292.71999991</v>
      </c>
      <c r="BY33" s="162">
        <f t="shared" si="66"/>
        <v>679.36377648000007</v>
      </c>
      <c r="BZ33" s="164">
        <v>3.2000000000000001E-2</v>
      </c>
      <c r="CA33" s="164">
        <v>0.12</v>
      </c>
      <c r="CB33" s="164" t="s">
        <v>106</v>
      </c>
      <c r="CC33" s="164" t="s">
        <v>106</v>
      </c>
      <c r="CD33" s="164" t="s">
        <v>106</v>
      </c>
      <c r="CE33" s="165" t="s">
        <v>106</v>
      </c>
      <c r="CF33" s="166">
        <f t="shared" si="72"/>
        <v>4.5640010843046891E-2</v>
      </c>
      <c r="CG33" s="167">
        <f t="shared" si="67"/>
        <v>88897.247999999992</v>
      </c>
      <c r="CH33" s="168">
        <f t="shared" si="68"/>
        <v>22862783.831039999</v>
      </c>
      <c r="CI33" s="167">
        <f t="shared" si="69"/>
        <v>26.485292217600001</v>
      </c>
      <c r="CK33">
        <f>BU33/H33</f>
        <v>19.399545834827297</v>
      </c>
    </row>
    <row r="34" spans="1:89" ht="21" customHeight="1">
      <c r="A34" s="23">
        <v>2</v>
      </c>
      <c r="B34" s="23">
        <v>2019</v>
      </c>
      <c r="C34" s="23" t="s">
        <v>101</v>
      </c>
      <c r="D34" s="52" t="s">
        <v>202</v>
      </c>
      <c r="E34" s="23" t="s">
        <v>113</v>
      </c>
      <c r="F34" s="23" t="s">
        <v>203</v>
      </c>
      <c r="G34" s="23" t="s">
        <v>110</v>
      </c>
      <c r="H34" s="51">
        <v>4714</v>
      </c>
      <c r="I34" s="54" t="s">
        <v>204</v>
      </c>
      <c r="J34" s="1">
        <v>36501</v>
      </c>
      <c r="K34" s="1">
        <f t="shared" si="50"/>
        <v>438012</v>
      </c>
      <c r="L34" s="24">
        <f t="shared" si="73"/>
        <v>7.7431056427662286</v>
      </c>
      <c r="M34" s="19">
        <v>373</v>
      </c>
      <c r="N34" s="2">
        <f t="shared" si="51"/>
        <v>13614873</v>
      </c>
      <c r="O34" s="2">
        <f t="shared" si="52"/>
        <v>163378476</v>
      </c>
      <c r="P34" s="71">
        <v>0.38</v>
      </c>
      <c r="Q34" s="1">
        <f t="shared" si="71"/>
        <v>166.44456</v>
      </c>
      <c r="R34" s="35">
        <v>0</v>
      </c>
      <c r="S34" s="35">
        <f t="shared" si="1"/>
        <v>0</v>
      </c>
      <c r="T34" s="36">
        <v>0</v>
      </c>
      <c r="U34" s="37">
        <f>+T34*R34</f>
        <v>0</v>
      </c>
      <c r="V34" s="37">
        <f t="shared" si="118"/>
        <v>0</v>
      </c>
      <c r="W34" s="38">
        <v>0</v>
      </c>
      <c r="X34" s="35">
        <f t="shared" ref="X34:X40" si="119">+R34*W34/3600</f>
        <v>0</v>
      </c>
      <c r="Y34" s="35">
        <f t="shared" si="4"/>
        <v>0</v>
      </c>
      <c r="Z34" s="37">
        <f t="shared" si="5"/>
        <v>0</v>
      </c>
      <c r="AA34" s="61">
        <v>2.1907999999999999</v>
      </c>
      <c r="AB34" s="35">
        <f t="shared" si="54"/>
        <v>0</v>
      </c>
      <c r="AC34" s="27">
        <v>0</v>
      </c>
      <c r="AD34" s="27">
        <f t="shared" si="6"/>
        <v>0</v>
      </c>
      <c r="AE34" s="30">
        <v>0</v>
      </c>
      <c r="AF34" s="31">
        <f t="shared" si="7"/>
        <v>0</v>
      </c>
      <c r="AG34" s="31">
        <f t="shared" si="8"/>
        <v>0</v>
      </c>
      <c r="AH34" s="32">
        <v>0</v>
      </c>
      <c r="AI34" s="27">
        <f t="shared" si="55"/>
        <v>0</v>
      </c>
      <c r="AJ34" s="27">
        <f t="shared" si="9"/>
        <v>0</v>
      </c>
      <c r="AK34" s="31">
        <f t="shared" si="10"/>
        <v>0</v>
      </c>
      <c r="AL34" s="27">
        <v>2538.8139999999999</v>
      </c>
      <c r="AM34" s="27">
        <f t="shared" si="56"/>
        <v>0</v>
      </c>
      <c r="AN34" s="42">
        <v>0</v>
      </c>
      <c r="AO34" s="43">
        <f t="shared" si="11"/>
        <v>0</v>
      </c>
      <c r="AP34" s="43">
        <v>0</v>
      </c>
      <c r="AQ34" s="44">
        <f t="shared" si="12"/>
        <v>0</v>
      </c>
      <c r="AR34" s="44">
        <f t="shared" si="13"/>
        <v>0</v>
      </c>
      <c r="AS34" s="45">
        <v>0</v>
      </c>
      <c r="AT34" s="42">
        <f t="shared" si="14"/>
        <v>0</v>
      </c>
      <c r="AU34" s="42">
        <f t="shared" si="57"/>
        <v>0</v>
      </c>
      <c r="AV34" s="44">
        <f t="shared" si="58"/>
        <v>0</v>
      </c>
      <c r="AW34" s="46">
        <v>10.178100000000001</v>
      </c>
      <c r="AX34" s="47">
        <f t="shared" si="59"/>
        <v>0</v>
      </c>
      <c r="AY34" s="7">
        <v>0</v>
      </c>
      <c r="AZ34" s="8">
        <f t="shared" si="15"/>
        <v>0</v>
      </c>
      <c r="BA34" s="8">
        <v>0</v>
      </c>
      <c r="BB34" s="9">
        <f t="shared" si="16"/>
        <v>0</v>
      </c>
      <c r="BC34" s="9">
        <f t="shared" si="17"/>
        <v>0</v>
      </c>
      <c r="BD34" s="10">
        <v>0</v>
      </c>
      <c r="BE34" s="7">
        <f t="shared" si="74"/>
        <v>0</v>
      </c>
      <c r="BF34" s="7">
        <f t="shared" si="18"/>
        <v>0</v>
      </c>
      <c r="BG34" s="9">
        <f t="shared" si="19"/>
        <v>0</v>
      </c>
      <c r="BH34" s="11">
        <v>0</v>
      </c>
      <c r="BI34" s="11">
        <f t="shared" si="20"/>
        <v>0</v>
      </c>
      <c r="BJ34" s="14">
        <v>0</v>
      </c>
      <c r="BK34" s="14">
        <f t="shared" si="21"/>
        <v>0</v>
      </c>
      <c r="BL34" s="15">
        <v>0</v>
      </c>
      <c r="BM34" s="16">
        <f t="shared" si="22"/>
        <v>0</v>
      </c>
      <c r="BN34" s="16">
        <f t="shared" si="23"/>
        <v>0</v>
      </c>
      <c r="BO34" s="17">
        <v>0</v>
      </c>
      <c r="BP34" s="14">
        <f t="shared" si="24"/>
        <v>0</v>
      </c>
      <c r="BQ34" s="14">
        <f t="shared" si="48"/>
        <v>0</v>
      </c>
      <c r="BR34" s="16">
        <f t="shared" si="61"/>
        <v>0</v>
      </c>
      <c r="BS34" s="18">
        <v>3.0512000000000001</v>
      </c>
      <c r="BT34" s="18">
        <f t="shared" si="76"/>
        <v>0</v>
      </c>
      <c r="BU34" s="57">
        <f t="shared" si="62"/>
        <v>36501</v>
      </c>
      <c r="BV34" s="57">
        <f t="shared" si="63"/>
        <v>438012</v>
      </c>
      <c r="BW34" s="58">
        <f t="shared" si="64"/>
        <v>13614873</v>
      </c>
      <c r="BX34" s="58">
        <f t="shared" si="65"/>
        <v>163378476</v>
      </c>
      <c r="BY34" s="57">
        <f t="shared" si="66"/>
        <v>166.44456</v>
      </c>
      <c r="BZ34" s="68">
        <v>0.1066</v>
      </c>
      <c r="CA34" s="68" t="s">
        <v>106</v>
      </c>
      <c r="CB34" s="68" t="s">
        <v>106</v>
      </c>
      <c r="CC34" s="68" t="s">
        <v>106</v>
      </c>
      <c r="CD34" s="68" t="s">
        <v>106</v>
      </c>
      <c r="CE34" s="77" t="s">
        <v>106</v>
      </c>
      <c r="CF34" s="73">
        <f t="shared" si="72"/>
        <v>0.1066</v>
      </c>
      <c r="CG34" s="74">
        <f t="shared" si="67"/>
        <v>46692.0792</v>
      </c>
      <c r="CH34" s="75">
        <f t="shared" si="68"/>
        <v>17416145.5416</v>
      </c>
      <c r="CI34" s="74">
        <f t="shared" si="69"/>
        <v>17.742990096</v>
      </c>
    </row>
    <row r="35" spans="1:89" ht="21" customHeight="1">
      <c r="A35" s="23">
        <v>2</v>
      </c>
      <c r="B35" s="23">
        <v>2019</v>
      </c>
      <c r="C35" s="23" t="s">
        <v>101</v>
      </c>
      <c r="D35" s="23" t="s">
        <v>205</v>
      </c>
      <c r="E35" s="23" t="s">
        <v>131</v>
      </c>
      <c r="F35" s="23" t="s">
        <v>109</v>
      </c>
      <c r="G35" s="23" t="s">
        <v>110</v>
      </c>
      <c r="H35" s="51">
        <v>10317</v>
      </c>
      <c r="I35" s="54" t="s">
        <v>206</v>
      </c>
      <c r="J35" s="1">
        <v>369801</v>
      </c>
      <c r="K35" s="1">
        <f t="shared" si="50"/>
        <v>4437612</v>
      </c>
      <c r="L35" s="24">
        <f t="shared" si="73"/>
        <v>35.84384995638267</v>
      </c>
      <c r="M35" s="19">
        <v>353</v>
      </c>
      <c r="N35" s="2">
        <f t="shared" si="51"/>
        <v>130539753</v>
      </c>
      <c r="O35" s="2">
        <f t="shared" si="52"/>
        <v>1566477036</v>
      </c>
      <c r="P35" s="71">
        <v>0.38</v>
      </c>
      <c r="Q35" s="1">
        <f t="shared" si="71"/>
        <v>1686.2925600000001</v>
      </c>
      <c r="R35" s="35">
        <v>0</v>
      </c>
      <c r="S35" s="35">
        <f t="shared" si="1"/>
        <v>0</v>
      </c>
      <c r="T35" s="36">
        <v>0</v>
      </c>
      <c r="U35" s="37">
        <f>+T35*R35</f>
        <v>0</v>
      </c>
      <c r="V35" s="37">
        <f t="shared" si="118"/>
        <v>0</v>
      </c>
      <c r="W35" s="38">
        <v>0</v>
      </c>
      <c r="X35" s="35">
        <f t="shared" si="119"/>
        <v>0</v>
      </c>
      <c r="Y35" s="35">
        <f t="shared" si="4"/>
        <v>0</v>
      </c>
      <c r="Z35" s="37">
        <f t="shared" ref="Z35:Z53" si="120">IFERROR(V35/Y35,0)</f>
        <v>0</v>
      </c>
      <c r="AA35" s="61">
        <v>2.1907999999999999</v>
      </c>
      <c r="AB35" s="35">
        <f t="shared" si="54"/>
        <v>0</v>
      </c>
      <c r="AC35" s="27">
        <v>0</v>
      </c>
      <c r="AD35" s="27">
        <f t="shared" si="6"/>
        <v>0</v>
      </c>
      <c r="AE35" s="30">
        <v>0</v>
      </c>
      <c r="AF35" s="31">
        <f t="shared" si="7"/>
        <v>0</v>
      </c>
      <c r="AG35" s="31">
        <f t="shared" si="8"/>
        <v>0</v>
      </c>
      <c r="AH35" s="32">
        <v>0</v>
      </c>
      <c r="AI35" s="27">
        <f t="shared" si="55"/>
        <v>0</v>
      </c>
      <c r="AJ35" s="27">
        <f t="shared" si="9"/>
        <v>0</v>
      </c>
      <c r="AK35" s="31">
        <f t="shared" ref="AK35:AK53" si="121">IFERROR(AG35/AJ35,0)</f>
        <v>0</v>
      </c>
      <c r="AL35" s="27">
        <v>2538.8139999999999</v>
      </c>
      <c r="AM35" s="27">
        <f t="shared" si="56"/>
        <v>0</v>
      </c>
      <c r="AN35" s="42">
        <v>0</v>
      </c>
      <c r="AO35" s="43">
        <f t="shared" si="11"/>
        <v>0</v>
      </c>
      <c r="AP35" s="43">
        <v>0</v>
      </c>
      <c r="AQ35" s="44">
        <f t="shared" si="12"/>
        <v>0</v>
      </c>
      <c r="AR35" s="44">
        <f t="shared" si="13"/>
        <v>0</v>
      </c>
      <c r="AS35" s="45">
        <v>0</v>
      </c>
      <c r="AT35" s="42">
        <f t="shared" si="14"/>
        <v>0</v>
      </c>
      <c r="AU35" s="42">
        <f t="shared" si="57"/>
        <v>0</v>
      </c>
      <c r="AV35" s="44">
        <f t="shared" si="58"/>
        <v>0</v>
      </c>
      <c r="AW35" s="46">
        <v>10.178100000000001</v>
      </c>
      <c r="AX35" s="47">
        <f t="shared" si="59"/>
        <v>0</v>
      </c>
      <c r="AY35" s="7">
        <v>0</v>
      </c>
      <c r="AZ35" s="8">
        <f t="shared" si="15"/>
        <v>0</v>
      </c>
      <c r="BA35" s="8">
        <v>0</v>
      </c>
      <c r="BB35" s="9">
        <f t="shared" si="16"/>
        <v>0</v>
      </c>
      <c r="BC35" s="9">
        <f t="shared" si="17"/>
        <v>0</v>
      </c>
      <c r="BD35" s="10">
        <v>0</v>
      </c>
      <c r="BE35" s="7">
        <f t="shared" si="74"/>
        <v>0</v>
      </c>
      <c r="BF35" s="7">
        <f t="shared" si="18"/>
        <v>0</v>
      </c>
      <c r="BG35" s="9">
        <f t="shared" si="19"/>
        <v>0</v>
      </c>
      <c r="BH35" s="11">
        <v>0</v>
      </c>
      <c r="BI35" s="11">
        <f t="shared" si="20"/>
        <v>0</v>
      </c>
      <c r="BJ35" s="14">
        <v>0</v>
      </c>
      <c r="BK35" s="14">
        <f t="shared" si="21"/>
        <v>0</v>
      </c>
      <c r="BL35" s="15">
        <v>0</v>
      </c>
      <c r="BM35" s="16">
        <f t="shared" si="22"/>
        <v>0</v>
      </c>
      <c r="BN35" s="16">
        <f t="shared" si="23"/>
        <v>0</v>
      </c>
      <c r="BO35" s="17">
        <v>0</v>
      </c>
      <c r="BP35" s="14">
        <f t="shared" si="24"/>
        <v>0</v>
      </c>
      <c r="BQ35" s="14">
        <f t="shared" si="48"/>
        <v>0</v>
      </c>
      <c r="BR35" s="16">
        <f t="shared" si="61"/>
        <v>0</v>
      </c>
      <c r="BS35" s="18">
        <v>3.0512000000000001</v>
      </c>
      <c r="BT35" s="18">
        <f t="shared" si="76"/>
        <v>0</v>
      </c>
      <c r="BU35" s="57">
        <f t="shared" si="62"/>
        <v>369801</v>
      </c>
      <c r="BV35" s="57">
        <f t="shared" si="63"/>
        <v>4437612</v>
      </c>
      <c r="BW35" s="58">
        <f t="shared" si="64"/>
        <v>130539753</v>
      </c>
      <c r="BX35" s="58">
        <f t="shared" si="65"/>
        <v>1566477036</v>
      </c>
      <c r="BY35" s="57">
        <f t="shared" si="66"/>
        <v>1686.2925600000001</v>
      </c>
      <c r="BZ35" s="68">
        <v>0.105</v>
      </c>
      <c r="CA35" s="68" t="s">
        <v>106</v>
      </c>
      <c r="CB35" s="68" t="s">
        <v>106</v>
      </c>
      <c r="CC35" s="68" t="s">
        <v>106</v>
      </c>
      <c r="CD35" s="69" t="s">
        <v>106</v>
      </c>
      <c r="CE35" s="77" t="s">
        <v>106</v>
      </c>
      <c r="CF35" s="73">
        <f t="shared" si="72"/>
        <v>0.105</v>
      </c>
      <c r="CG35" s="74">
        <f t="shared" si="67"/>
        <v>465949.26</v>
      </c>
      <c r="CH35" s="75">
        <f t="shared" si="68"/>
        <v>164480088.78</v>
      </c>
      <c r="CI35" s="74">
        <f t="shared" si="69"/>
        <v>177.06071879999999</v>
      </c>
    </row>
    <row r="36" spans="1:89" ht="21" customHeight="1">
      <c r="A36" s="23">
        <v>2</v>
      </c>
      <c r="B36" s="23">
        <v>2019</v>
      </c>
      <c r="C36" s="23" t="s">
        <v>101</v>
      </c>
      <c r="D36" s="23" t="s">
        <v>207</v>
      </c>
      <c r="E36" s="23" t="s">
        <v>113</v>
      </c>
      <c r="F36" s="23" t="s">
        <v>134</v>
      </c>
      <c r="G36" s="23" t="s">
        <v>110</v>
      </c>
      <c r="H36" s="51">
        <v>13314132</v>
      </c>
      <c r="I36" s="54" t="s">
        <v>208</v>
      </c>
      <c r="J36" s="1">
        <v>855492</v>
      </c>
      <c r="K36" s="1">
        <f t="shared" si="50"/>
        <v>10265904</v>
      </c>
      <c r="L36" s="24">
        <f t="shared" si="73"/>
        <v>6.4254432808687797E-2</v>
      </c>
      <c r="M36" s="19">
        <v>300</v>
      </c>
      <c r="N36" s="2">
        <f t="shared" si="51"/>
        <v>256647600</v>
      </c>
      <c r="O36" s="2">
        <f t="shared" si="52"/>
        <v>3079771200</v>
      </c>
      <c r="P36" s="71">
        <v>0.38</v>
      </c>
      <c r="Q36" s="1">
        <f t="shared" si="71"/>
        <v>3901.0435200000002</v>
      </c>
      <c r="R36" s="35">
        <v>53000</v>
      </c>
      <c r="S36" s="35">
        <f t="shared" si="1"/>
        <v>636000</v>
      </c>
      <c r="T36" s="36">
        <v>1644.3412666415093</v>
      </c>
      <c r="U36" s="37">
        <f>R36*T36</f>
        <v>87150087.131999984</v>
      </c>
      <c r="V36" s="37">
        <f t="shared" si="118"/>
        <v>1045801045.5839999</v>
      </c>
      <c r="W36" s="38">
        <v>42923</v>
      </c>
      <c r="X36" s="35">
        <f t="shared" si="119"/>
        <v>631921.9444444445</v>
      </c>
      <c r="Y36" s="35">
        <f t="shared" si="4"/>
        <v>7583063.333333334</v>
      </c>
      <c r="Z36" s="37">
        <f t="shared" si="120"/>
        <v>137.91274048667225</v>
      </c>
      <c r="AA36" s="61">
        <v>2.1907999999999999</v>
      </c>
      <c r="AB36" s="35">
        <f t="shared" si="54"/>
        <v>1393.3487999999998</v>
      </c>
      <c r="AC36" s="27">
        <v>0</v>
      </c>
      <c r="AD36" s="27">
        <f t="shared" si="6"/>
        <v>0</v>
      </c>
      <c r="AE36" s="30">
        <v>0</v>
      </c>
      <c r="AF36" s="31">
        <f t="shared" si="7"/>
        <v>0</v>
      </c>
      <c r="AG36" s="31">
        <f t="shared" si="8"/>
        <v>0</v>
      </c>
      <c r="AH36" s="32">
        <v>0</v>
      </c>
      <c r="AI36" s="27">
        <f t="shared" si="55"/>
        <v>0</v>
      </c>
      <c r="AJ36" s="27">
        <f t="shared" ref="AJ36:AJ53" si="122">+AI36*12</f>
        <v>0</v>
      </c>
      <c r="AK36" s="31">
        <f t="shared" si="121"/>
        <v>0</v>
      </c>
      <c r="AL36" s="27">
        <v>2538.8139999999999</v>
      </c>
      <c r="AM36" s="27">
        <f t="shared" si="56"/>
        <v>0</v>
      </c>
      <c r="AN36" s="42">
        <v>0</v>
      </c>
      <c r="AO36" s="43">
        <f t="shared" si="11"/>
        <v>0</v>
      </c>
      <c r="AP36" s="43">
        <v>0</v>
      </c>
      <c r="AQ36" s="44">
        <f t="shared" si="12"/>
        <v>0</v>
      </c>
      <c r="AR36" s="44">
        <f t="shared" si="13"/>
        <v>0</v>
      </c>
      <c r="AS36" s="45">
        <v>0</v>
      </c>
      <c r="AT36" s="42">
        <f t="shared" si="14"/>
        <v>0</v>
      </c>
      <c r="AU36" s="42">
        <f t="shared" si="57"/>
        <v>0</v>
      </c>
      <c r="AV36" s="44">
        <f t="shared" si="58"/>
        <v>0</v>
      </c>
      <c r="AW36" s="46">
        <v>10.178100000000001</v>
      </c>
      <c r="AX36" s="47">
        <f t="shared" si="59"/>
        <v>0</v>
      </c>
      <c r="AY36" s="7">
        <v>0</v>
      </c>
      <c r="AZ36" s="8">
        <f t="shared" si="15"/>
        <v>0</v>
      </c>
      <c r="BA36" s="8">
        <v>0</v>
      </c>
      <c r="BB36" s="9">
        <f t="shared" si="16"/>
        <v>0</v>
      </c>
      <c r="BC36" s="9">
        <f t="shared" si="17"/>
        <v>0</v>
      </c>
      <c r="BD36" s="10">
        <v>0</v>
      </c>
      <c r="BE36" s="7">
        <f t="shared" si="74"/>
        <v>0</v>
      </c>
      <c r="BF36" s="7">
        <f t="shared" si="18"/>
        <v>0</v>
      </c>
      <c r="BG36" s="9">
        <f t="shared" si="19"/>
        <v>0</v>
      </c>
      <c r="BH36" s="11">
        <v>0</v>
      </c>
      <c r="BI36" s="11">
        <f t="shared" si="20"/>
        <v>0</v>
      </c>
      <c r="BJ36" s="14">
        <v>0</v>
      </c>
      <c r="BK36" s="14">
        <f t="shared" si="21"/>
        <v>0</v>
      </c>
      <c r="BL36" s="15">
        <v>0</v>
      </c>
      <c r="BM36" s="16">
        <f t="shared" si="22"/>
        <v>0</v>
      </c>
      <c r="BN36" s="16">
        <f t="shared" si="23"/>
        <v>0</v>
      </c>
      <c r="BO36" s="17">
        <v>0</v>
      </c>
      <c r="BP36" s="14">
        <f t="shared" si="24"/>
        <v>0</v>
      </c>
      <c r="BQ36" s="14">
        <f t="shared" si="48"/>
        <v>0</v>
      </c>
      <c r="BR36" s="16">
        <f t="shared" si="61"/>
        <v>0</v>
      </c>
      <c r="BS36" s="18">
        <v>3.0512000000000001</v>
      </c>
      <c r="BT36" s="18">
        <f t="shared" si="76"/>
        <v>0</v>
      </c>
      <c r="BU36" s="57">
        <f t="shared" si="62"/>
        <v>1487413.9444444445</v>
      </c>
      <c r="BV36" s="57">
        <f t="shared" si="63"/>
        <v>17848967.333333336</v>
      </c>
      <c r="BW36" s="58">
        <f t="shared" si="64"/>
        <v>343797687.13199997</v>
      </c>
      <c r="BX36" s="58">
        <f t="shared" si="65"/>
        <v>4125572245.5839996</v>
      </c>
      <c r="BY36" s="57">
        <f t="shared" si="66"/>
        <v>5294.3923199999999</v>
      </c>
      <c r="BZ36" s="68">
        <v>4.07E-2</v>
      </c>
      <c r="CA36" s="69" t="s">
        <v>106</v>
      </c>
      <c r="CB36" s="68" t="s">
        <v>106</v>
      </c>
      <c r="CC36" s="68" t="s">
        <v>106</v>
      </c>
      <c r="CD36" s="68" t="s">
        <v>106</v>
      </c>
      <c r="CE36" s="77" t="s">
        <v>106</v>
      </c>
      <c r="CF36" s="73">
        <f t="shared" si="72"/>
        <v>2.340876561635629E-2</v>
      </c>
      <c r="CG36" s="74">
        <f t="shared" ref="CG36:CG53" si="123">IFERROR(BZ36*K36,0)+IFERROR(CA36*Y36,0)+IFERROR(CB36*AJ36,0)+IFERROR(CC36*AU36,0)+IFERROR(CD36*BF36,0)+IFERROR(CE36*BQ36,0)</f>
        <v>417822.2928</v>
      </c>
      <c r="CH36" s="75">
        <f t="shared" si="68"/>
        <v>125346687.84</v>
      </c>
      <c r="CI36" s="74">
        <f t="shared" ref="CI36:CI53" si="124">IFERROR(BZ36*Q36,0)+IFERROR(CA36*AB36,0)+IFERROR(CB36*AM36,0)+IFERROR(CC36*AX36,0)+IFERROR(CD36*BI36,0)+IFERROR(CE36*BT36,0)</f>
        <v>158.77247126400002</v>
      </c>
      <c r="CK36">
        <f>BU36/H36</f>
        <v>0.11171692938333828</v>
      </c>
    </row>
    <row r="37" spans="1:89" ht="21" customHeight="1">
      <c r="A37" s="23">
        <v>2</v>
      </c>
      <c r="B37" s="23">
        <v>2019</v>
      </c>
      <c r="C37" s="23" t="s">
        <v>101</v>
      </c>
      <c r="D37" s="23" t="s">
        <v>209</v>
      </c>
      <c r="E37" s="23" t="s">
        <v>148</v>
      </c>
      <c r="F37" s="23" t="s">
        <v>121</v>
      </c>
      <c r="G37" s="23" t="s">
        <v>110</v>
      </c>
      <c r="H37" s="51">
        <v>3232</v>
      </c>
      <c r="I37" s="54" t="s">
        <v>210</v>
      </c>
      <c r="J37" s="1">
        <v>3233</v>
      </c>
      <c r="K37" s="1">
        <f t="shared" si="50"/>
        <v>38796</v>
      </c>
      <c r="L37" s="24">
        <f t="shared" si="73"/>
        <v>1.0003094059405941</v>
      </c>
      <c r="M37" s="19">
        <v>506</v>
      </c>
      <c r="N37" s="2">
        <f t="shared" si="51"/>
        <v>1635898</v>
      </c>
      <c r="O37" s="2">
        <f t="shared" si="52"/>
        <v>19630776</v>
      </c>
      <c r="P37" s="71">
        <v>0.11</v>
      </c>
      <c r="Q37" s="1">
        <f t="shared" si="71"/>
        <v>4.2675600000000005</v>
      </c>
      <c r="R37" s="35">
        <v>0</v>
      </c>
      <c r="S37" s="35">
        <f t="shared" si="1"/>
        <v>0</v>
      </c>
      <c r="T37" s="36">
        <v>0</v>
      </c>
      <c r="U37" s="37">
        <f>+T37*R37</f>
        <v>0</v>
      </c>
      <c r="V37" s="37">
        <f t="shared" si="118"/>
        <v>0</v>
      </c>
      <c r="W37" s="38">
        <v>0</v>
      </c>
      <c r="X37" s="35">
        <f t="shared" si="119"/>
        <v>0</v>
      </c>
      <c r="Y37" s="35">
        <f t="shared" si="4"/>
        <v>0</v>
      </c>
      <c r="Z37" s="37">
        <f t="shared" si="120"/>
        <v>0</v>
      </c>
      <c r="AA37" s="61">
        <v>2.1907999999999999</v>
      </c>
      <c r="AB37" s="35">
        <f t="shared" si="54"/>
        <v>0</v>
      </c>
      <c r="AC37" s="27">
        <v>0</v>
      </c>
      <c r="AD37" s="27">
        <f t="shared" si="6"/>
        <v>0</v>
      </c>
      <c r="AE37" s="30">
        <v>0</v>
      </c>
      <c r="AF37" s="31">
        <f t="shared" si="7"/>
        <v>0</v>
      </c>
      <c r="AG37" s="31">
        <f t="shared" si="8"/>
        <v>0</v>
      </c>
      <c r="AH37" s="32">
        <v>0</v>
      </c>
      <c r="AI37" s="27">
        <f t="shared" si="55"/>
        <v>0</v>
      </c>
      <c r="AJ37" s="27">
        <f t="shared" si="122"/>
        <v>0</v>
      </c>
      <c r="AK37" s="31">
        <f t="shared" si="121"/>
        <v>0</v>
      </c>
      <c r="AL37" s="27">
        <v>2538.8139999999999</v>
      </c>
      <c r="AM37" s="27">
        <f t="shared" si="56"/>
        <v>0</v>
      </c>
      <c r="AN37" s="42">
        <v>0</v>
      </c>
      <c r="AO37" s="43">
        <f t="shared" si="11"/>
        <v>0</v>
      </c>
      <c r="AP37" s="43">
        <v>0</v>
      </c>
      <c r="AQ37" s="44">
        <f t="shared" si="12"/>
        <v>0</v>
      </c>
      <c r="AR37" s="44">
        <f t="shared" si="13"/>
        <v>0</v>
      </c>
      <c r="AS37" s="45">
        <v>0</v>
      </c>
      <c r="AT37" s="42">
        <f t="shared" si="14"/>
        <v>0</v>
      </c>
      <c r="AU37" s="42">
        <f t="shared" si="57"/>
        <v>0</v>
      </c>
      <c r="AV37" s="44">
        <f t="shared" si="58"/>
        <v>0</v>
      </c>
      <c r="AW37" s="46">
        <v>10.178100000000001</v>
      </c>
      <c r="AX37" s="47">
        <f t="shared" si="59"/>
        <v>0</v>
      </c>
      <c r="AY37" s="7">
        <v>0</v>
      </c>
      <c r="AZ37" s="8">
        <f t="shared" si="15"/>
        <v>0</v>
      </c>
      <c r="BA37" s="8">
        <v>0</v>
      </c>
      <c r="BB37" s="9">
        <f t="shared" si="16"/>
        <v>0</v>
      </c>
      <c r="BC37" s="9">
        <f t="shared" si="17"/>
        <v>0</v>
      </c>
      <c r="BD37" s="10">
        <v>0</v>
      </c>
      <c r="BE37" s="7">
        <f t="shared" si="74"/>
        <v>0</v>
      </c>
      <c r="BF37" s="7">
        <f t="shared" si="18"/>
        <v>0</v>
      </c>
      <c r="BG37" s="9">
        <f t="shared" si="19"/>
        <v>0</v>
      </c>
      <c r="BH37" s="11">
        <v>0</v>
      </c>
      <c r="BI37" s="11">
        <f t="shared" si="20"/>
        <v>0</v>
      </c>
      <c r="BJ37" s="14">
        <v>0</v>
      </c>
      <c r="BK37" s="14">
        <f t="shared" si="21"/>
        <v>0</v>
      </c>
      <c r="BL37" s="15">
        <v>0</v>
      </c>
      <c r="BM37" s="16">
        <f t="shared" si="22"/>
        <v>0</v>
      </c>
      <c r="BN37" s="16">
        <f t="shared" si="23"/>
        <v>0</v>
      </c>
      <c r="BO37" s="17">
        <v>0</v>
      </c>
      <c r="BP37" s="14">
        <f t="shared" si="24"/>
        <v>0</v>
      </c>
      <c r="BQ37" s="14">
        <f t="shared" si="48"/>
        <v>0</v>
      </c>
      <c r="BR37" s="16">
        <f t="shared" si="61"/>
        <v>0</v>
      </c>
      <c r="BS37" s="18">
        <v>3.0512000000000001</v>
      </c>
      <c r="BT37" s="18">
        <f t="shared" si="76"/>
        <v>0</v>
      </c>
      <c r="BU37" s="57">
        <f t="shared" si="62"/>
        <v>3233</v>
      </c>
      <c r="BV37" s="57">
        <f t="shared" si="63"/>
        <v>38796</v>
      </c>
      <c r="BW37" s="58">
        <f t="shared" si="64"/>
        <v>1635898</v>
      </c>
      <c r="BX37" s="58">
        <f t="shared" si="65"/>
        <v>19630776</v>
      </c>
      <c r="BY37" s="57">
        <f t="shared" si="66"/>
        <v>4.2675600000000005</v>
      </c>
      <c r="BZ37" s="68">
        <v>5.0700000000000002E-2</v>
      </c>
      <c r="CA37" s="68" t="s">
        <v>106</v>
      </c>
      <c r="CB37" s="68" t="s">
        <v>106</v>
      </c>
      <c r="CC37" s="68" t="s">
        <v>106</v>
      </c>
      <c r="CD37" s="68" t="s">
        <v>106</v>
      </c>
      <c r="CE37" s="77" t="s">
        <v>106</v>
      </c>
      <c r="CF37" s="73">
        <f t="shared" si="72"/>
        <v>5.0700000000000002E-2</v>
      </c>
      <c r="CG37" s="74">
        <f t="shared" si="123"/>
        <v>1966.9572000000001</v>
      </c>
      <c r="CH37" s="75">
        <f t="shared" si="68"/>
        <v>995280.3432</v>
      </c>
      <c r="CI37" s="74">
        <f t="shared" si="124"/>
        <v>0.21636529200000004</v>
      </c>
    </row>
    <row r="38" spans="1:89" ht="21" customHeight="1">
      <c r="A38" s="23">
        <v>2</v>
      </c>
      <c r="B38" s="23">
        <v>2019</v>
      </c>
      <c r="C38" s="23" t="s">
        <v>101</v>
      </c>
      <c r="D38" s="52" t="s">
        <v>211</v>
      </c>
      <c r="E38" s="23" t="s">
        <v>113</v>
      </c>
      <c r="F38" s="23" t="s">
        <v>128</v>
      </c>
      <c r="G38" s="23" t="s">
        <v>110</v>
      </c>
      <c r="H38" s="51">
        <v>31714.01</v>
      </c>
      <c r="I38" s="54" t="s">
        <v>212</v>
      </c>
      <c r="J38" s="1">
        <v>490082</v>
      </c>
      <c r="K38" s="1">
        <f t="shared" si="50"/>
        <v>5880984</v>
      </c>
      <c r="L38" s="24">
        <f t="shared" si="73"/>
        <v>15.453170381165927</v>
      </c>
      <c r="M38" s="84">
        <f>N38/J38</f>
        <v>341.49165037687573</v>
      </c>
      <c r="N38" s="2">
        <v>167358911</v>
      </c>
      <c r="O38" s="2">
        <f t="shared" si="52"/>
        <v>2008306932</v>
      </c>
      <c r="P38" s="71">
        <v>0.11</v>
      </c>
      <c r="Q38" s="1">
        <f t="shared" si="71"/>
        <v>646.90823999999998</v>
      </c>
      <c r="R38" s="35">
        <v>4633.84</v>
      </c>
      <c r="S38" s="35">
        <f t="shared" si="1"/>
        <v>55606.080000000002</v>
      </c>
      <c r="T38" s="39">
        <f>U38/R38</f>
        <v>1199.9987051775634</v>
      </c>
      <c r="U38" s="37">
        <v>5560602</v>
      </c>
      <c r="V38" s="37">
        <f t="shared" si="118"/>
        <v>66727224</v>
      </c>
      <c r="W38" s="38">
        <v>37000</v>
      </c>
      <c r="X38" s="35">
        <f t="shared" si="119"/>
        <v>47625.577777777777</v>
      </c>
      <c r="Y38" s="35">
        <f t="shared" si="4"/>
        <v>571506.93333333335</v>
      </c>
      <c r="Z38" s="37">
        <f t="shared" si="120"/>
        <v>116.75663077403318</v>
      </c>
      <c r="AA38" s="61">
        <v>2.1907999999999999</v>
      </c>
      <c r="AB38" s="35">
        <f t="shared" si="54"/>
        <v>121.821800064</v>
      </c>
      <c r="AC38" s="27">
        <v>163.25</v>
      </c>
      <c r="AD38" s="27">
        <f t="shared" si="6"/>
        <v>1959</v>
      </c>
      <c r="AE38" s="30">
        <f>AF38/AC38</f>
        <v>299684.67381317</v>
      </c>
      <c r="AF38" s="31">
        <v>48923523</v>
      </c>
      <c r="AG38" s="31">
        <f>+AF38*12</f>
        <v>587082276</v>
      </c>
      <c r="AH38" s="32">
        <f>AI38*3600/(AC38*1000)</f>
        <v>29112.532131087286</v>
      </c>
      <c r="AI38" s="27">
        <v>1320172.4639999999</v>
      </c>
      <c r="AJ38" s="27">
        <f t="shared" si="122"/>
        <v>15842069.568</v>
      </c>
      <c r="AK38" s="31">
        <f>IFERROR(AG38/AJ38,0)</f>
        <v>37.058433147261887</v>
      </c>
      <c r="AL38" s="27">
        <v>2538.8139999999999</v>
      </c>
      <c r="AM38" s="27">
        <f>+(AD38*AL38)/1000</f>
        <v>4973.5366260000001</v>
      </c>
      <c r="AN38" s="42">
        <v>0</v>
      </c>
      <c r="AO38" s="43">
        <f t="shared" si="11"/>
        <v>0</v>
      </c>
      <c r="AP38" s="43">
        <v>0</v>
      </c>
      <c r="AQ38" s="44">
        <f t="shared" si="12"/>
        <v>0</v>
      </c>
      <c r="AR38" s="44">
        <f t="shared" si="13"/>
        <v>0</v>
      </c>
      <c r="AS38" s="45">
        <v>0</v>
      </c>
      <c r="AT38" s="42">
        <f t="shared" si="14"/>
        <v>0</v>
      </c>
      <c r="AU38" s="42">
        <f t="shared" si="57"/>
        <v>0</v>
      </c>
      <c r="AV38" s="44">
        <f t="shared" si="58"/>
        <v>0</v>
      </c>
      <c r="AW38" s="46">
        <v>10.178100000000001</v>
      </c>
      <c r="AX38" s="47">
        <f t="shared" si="59"/>
        <v>0</v>
      </c>
      <c r="AY38" s="7">
        <v>0</v>
      </c>
      <c r="AZ38" s="8">
        <f t="shared" si="15"/>
        <v>0</v>
      </c>
      <c r="BA38" s="8">
        <v>0</v>
      </c>
      <c r="BB38" s="9">
        <f t="shared" si="16"/>
        <v>0</v>
      </c>
      <c r="BC38" s="9">
        <f t="shared" si="17"/>
        <v>0</v>
      </c>
      <c r="BD38" s="10">
        <v>0</v>
      </c>
      <c r="BE38" s="7">
        <f t="shared" si="74"/>
        <v>0</v>
      </c>
      <c r="BF38" s="7">
        <f t="shared" si="18"/>
        <v>0</v>
      </c>
      <c r="BG38" s="9">
        <f t="shared" si="19"/>
        <v>0</v>
      </c>
      <c r="BH38" s="11">
        <v>0</v>
      </c>
      <c r="BI38" s="11">
        <f t="shared" si="20"/>
        <v>0</v>
      </c>
      <c r="BJ38" s="14">
        <v>0</v>
      </c>
      <c r="BK38" s="14">
        <f t="shared" si="21"/>
        <v>0</v>
      </c>
      <c r="BL38" s="15">
        <v>0</v>
      </c>
      <c r="BM38" s="16">
        <f t="shared" si="22"/>
        <v>0</v>
      </c>
      <c r="BN38" s="16">
        <f t="shared" si="23"/>
        <v>0</v>
      </c>
      <c r="BO38" s="17">
        <v>0</v>
      </c>
      <c r="BP38" s="14">
        <f t="shared" si="24"/>
        <v>0</v>
      </c>
      <c r="BQ38" s="14">
        <f t="shared" si="48"/>
        <v>0</v>
      </c>
      <c r="BR38" s="16">
        <f t="shared" si="61"/>
        <v>0</v>
      </c>
      <c r="BS38" s="18">
        <v>3.0512000000000001</v>
      </c>
      <c r="BT38" s="18">
        <f t="shared" si="76"/>
        <v>0</v>
      </c>
      <c r="BU38" s="57">
        <f t="shared" si="62"/>
        <v>1857880.0417777777</v>
      </c>
      <c r="BV38" s="57">
        <f t="shared" si="63"/>
        <v>22294560.501333334</v>
      </c>
      <c r="BW38" s="58">
        <f t="shared" si="64"/>
        <v>221843036</v>
      </c>
      <c r="BX38" s="58">
        <f t="shared" si="65"/>
        <v>2662116432</v>
      </c>
      <c r="BY38" s="57">
        <f t="shared" si="66"/>
        <v>5742.2666660639998</v>
      </c>
      <c r="BZ38" s="68">
        <v>3.1399999999999997E-2</v>
      </c>
      <c r="CA38" s="68" t="s">
        <v>106</v>
      </c>
      <c r="CB38" s="68">
        <v>7.2999999999999995E-2</v>
      </c>
      <c r="CC38" s="68" t="s">
        <v>106</v>
      </c>
      <c r="CD38" s="68" t="s">
        <v>106</v>
      </c>
      <c r="CE38" s="77" t="s">
        <v>106</v>
      </c>
      <c r="CF38" s="73">
        <f>IFERROR(CG38/BV38,0)</f>
        <v>6.0155210325128099E-2</v>
      </c>
      <c r="CG38" s="74">
        <f>IFERROR(BZ38*K38,0)+IFERROR(CA38*Y38,0)+IFERROR(CB38*AJ38,0)+IFERROR(CC38*AU38,0)+IFERROR(CD38*BF38,0)+IFERROR(CE38*BQ38,0)</f>
        <v>1341133.976064</v>
      </c>
      <c r="CH38" s="75">
        <f>IFERROR(BZ38*O38,0)+IFERROR(CA38*V38,0)+IFERROR(CB38*AG38,0)+IFERROR(CC38*AR38,0)+IFERROR(CD38*BC38,0)+IFERROR(CE38*BN38,0)</f>
        <v>105917843.81279999</v>
      </c>
      <c r="CI38" s="74">
        <f>IFERROR(BZ38*Q38,0)+IFERROR(CA38*AB38,0)+IFERROR(CB38*AM38,0)+IFERROR(CC38*AX38,0)+IFERROR(CD38*BI38,0)+IFERROR(CE38*BT38,0)</f>
        <v>383.38109243399998</v>
      </c>
    </row>
    <row r="39" spans="1:89" ht="21" customHeight="1">
      <c r="A39" s="23">
        <v>2</v>
      </c>
      <c r="B39" s="23">
        <v>2019</v>
      </c>
      <c r="C39" s="23" t="s">
        <v>165</v>
      </c>
      <c r="D39" s="23" t="s">
        <v>213</v>
      </c>
      <c r="E39" s="23" t="s">
        <v>113</v>
      </c>
      <c r="F39" s="26" t="s">
        <v>167</v>
      </c>
      <c r="G39" s="23" t="s">
        <v>110</v>
      </c>
      <c r="H39" s="51">
        <v>5455149</v>
      </c>
      <c r="I39" s="54" t="s">
        <v>214</v>
      </c>
      <c r="J39" s="1">
        <v>2265554.44</v>
      </c>
      <c r="K39" s="1">
        <f t="shared" si="50"/>
        <v>27186653.280000001</v>
      </c>
      <c r="L39" s="24">
        <f t="shared" si="73"/>
        <v>0.41530569375831894</v>
      </c>
      <c r="M39" s="19">
        <f>N39/J39</f>
        <v>310.58649157863539</v>
      </c>
      <c r="N39" s="2">
        <v>703650605</v>
      </c>
      <c r="O39" s="2">
        <f t="shared" si="52"/>
        <v>8443807260</v>
      </c>
      <c r="P39" s="71">
        <v>0.11</v>
      </c>
      <c r="Q39" s="1">
        <f t="shared" si="71"/>
        <v>2990.5318608000002</v>
      </c>
      <c r="R39" s="35">
        <v>192539</v>
      </c>
      <c r="S39" s="35">
        <f t="shared" si="1"/>
        <v>2310468</v>
      </c>
      <c r="T39" s="50">
        <v>730.38</v>
      </c>
      <c r="U39" s="37">
        <f t="shared" ref="U39:U42" si="125">+T39*R39</f>
        <v>140626634.81999999</v>
      </c>
      <c r="V39" s="37">
        <f t="shared" si="118"/>
        <v>1687519617.8399999</v>
      </c>
      <c r="W39" s="38">
        <v>42120</v>
      </c>
      <c r="X39" s="35">
        <f t="shared" si="119"/>
        <v>2252706.2999999998</v>
      </c>
      <c r="Y39" s="35">
        <f t="shared" si="4"/>
        <v>27032475.599999998</v>
      </c>
      <c r="Z39" s="37">
        <f t="shared" si="120"/>
        <v>62.425641025641028</v>
      </c>
      <c r="AA39" s="61">
        <v>2.1907999999999999</v>
      </c>
      <c r="AB39" s="35">
        <f t="shared" si="54"/>
        <v>5061.7732943999999</v>
      </c>
      <c r="AC39" s="27">
        <v>0</v>
      </c>
      <c r="AD39" s="27">
        <f t="shared" si="6"/>
        <v>0</v>
      </c>
      <c r="AE39" s="30">
        <v>0</v>
      </c>
      <c r="AF39" s="31">
        <f t="shared" ref="AF39:AF44" si="126">+AE39*AC39</f>
        <v>0</v>
      </c>
      <c r="AG39" s="31">
        <f t="shared" si="8"/>
        <v>0</v>
      </c>
      <c r="AH39" s="32">
        <v>0</v>
      </c>
      <c r="AI39" s="27">
        <f t="shared" si="55"/>
        <v>0</v>
      </c>
      <c r="AJ39" s="27">
        <f t="shared" si="122"/>
        <v>0</v>
      </c>
      <c r="AK39" s="31">
        <f t="shared" si="121"/>
        <v>0</v>
      </c>
      <c r="AL39" s="27">
        <v>2538.8139999999999</v>
      </c>
      <c r="AM39" s="27">
        <f t="shared" si="56"/>
        <v>0</v>
      </c>
      <c r="AN39" s="42">
        <v>0</v>
      </c>
      <c r="AO39" s="43">
        <f t="shared" si="11"/>
        <v>0</v>
      </c>
      <c r="AP39" s="43">
        <v>0</v>
      </c>
      <c r="AQ39" s="44">
        <f t="shared" si="12"/>
        <v>0</v>
      </c>
      <c r="AR39" s="44">
        <f t="shared" si="13"/>
        <v>0</v>
      </c>
      <c r="AS39" s="45">
        <v>0</v>
      </c>
      <c r="AT39" s="42">
        <f t="shared" si="14"/>
        <v>0</v>
      </c>
      <c r="AU39" s="42">
        <f t="shared" si="57"/>
        <v>0</v>
      </c>
      <c r="AV39" s="44">
        <f t="shared" si="58"/>
        <v>0</v>
      </c>
      <c r="AW39" s="46">
        <v>10.178100000000001</v>
      </c>
      <c r="AX39" s="47">
        <f t="shared" si="59"/>
        <v>0</v>
      </c>
      <c r="AY39" s="7">
        <v>0</v>
      </c>
      <c r="AZ39" s="8">
        <f t="shared" si="15"/>
        <v>0</v>
      </c>
      <c r="BA39" s="8">
        <v>0</v>
      </c>
      <c r="BB39" s="9">
        <f t="shared" si="16"/>
        <v>0</v>
      </c>
      <c r="BC39" s="9">
        <f t="shared" si="17"/>
        <v>0</v>
      </c>
      <c r="BD39" s="10">
        <v>0</v>
      </c>
      <c r="BE39" s="7">
        <f t="shared" si="74"/>
        <v>0</v>
      </c>
      <c r="BF39" s="7">
        <f t="shared" si="18"/>
        <v>0</v>
      </c>
      <c r="BG39" s="9">
        <f t="shared" si="19"/>
        <v>0</v>
      </c>
      <c r="BH39" s="11">
        <v>0</v>
      </c>
      <c r="BI39" s="11">
        <f t="shared" si="20"/>
        <v>0</v>
      </c>
      <c r="BJ39" s="14">
        <v>0</v>
      </c>
      <c r="BK39" s="14">
        <f t="shared" si="21"/>
        <v>0</v>
      </c>
      <c r="BL39" s="15">
        <v>0</v>
      </c>
      <c r="BM39" s="16">
        <f t="shared" si="22"/>
        <v>0</v>
      </c>
      <c r="BN39" s="16">
        <f t="shared" si="23"/>
        <v>0</v>
      </c>
      <c r="BO39" s="17">
        <v>0</v>
      </c>
      <c r="BP39" s="14">
        <f t="shared" si="24"/>
        <v>0</v>
      </c>
      <c r="BQ39" s="14">
        <f t="shared" si="48"/>
        <v>0</v>
      </c>
      <c r="BR39" s="16">
        <f t="shared" si="61"/>
        <v>0</v>
      </c>
      <c r="BS39" s="18">
        <v>3.0512000000000001</v>
      </c>
      <c r="BT39" s="18">
        <f t="shared" si="76"/>
        <v>0</v>
      </c>
      <c r="BU39" s="57">
        <f t="shared" si="62"/>
        <v>4518260.74</v>
      </c>
      <c r="BV39" s="57">
        <f t="shared" si="63"/>
        <v>54219128.880000003</v>
      </c>
      <c r="BW39" s="58">
        <f t="shared" si="64"/>
        <v>844277239.81999993</v>
      </c>
      <c r="BX39" s="58">
        <f t="shared" si="65"/>
        <v>10131326877.84</v>
      </c>
      <c r="BY39" s="57">
        <f t="shared" si="66"/>
        <v>8052.3051551999997</v>
      </c>
      <c r="BZ39" s="68">
        <v>9.4E-2</v>
      </c>
      <c r="CA39" s="69" t="s">
        <v>106</v>
      </c>
      <c r="CB39" s="68" t="s">
        <v>106</v>
      </c>
      <c r="CC39" s="68" t="s">
        <v>106</v>
      </c>
      <c r="CD39" s="68" t="s">
        <v>106</v>
      </c>
      <c r="CE39" s="77" t="s">
        <v>106</v>
      </c>
      <c r="CF39" s="73">
        <f t="shared" si="72"/>
        <v>4.7133649343131974E-2</v>
      </c>
      <c r="CG39" s="74">
        <f t="shared" si="123"/>
        <v>2555545.4083199999</v>
      </c>
      <c r="CH39" s="75">
        <f t="shared" si="68"/>
        <v>793717882.44000006</v>
      </c>
      <c r="CI39" s="74">
        <f t="shared" si="124"/>
        <v>281.10999491520005</v>
      </c>
    </row>
    <row r="40" spans="1:89" ht="21" customHeight="1">
      <c r="A40" s="23">
        <v>2</v>
      </c>
      <c r="B40" s="23">
        <v>2019</v>
      </c>
      <c r="C40" s="23" t="s">
        <v>165</v>
      </c>
      <c r="D40" s="23" t="s">
        <v>215</v>
      </c>
      <c r="E40" s="23" t="s">
        <v>216</v>
      </c>
      <c r="F40" s="23" t="s">
        <v>178</v>
      </c>
      <c r="G40" s="92" t="s">
        <v>110</v>
      </c>
      <c r="H40" s="51">
        <v>6818391</v>
      </c>
      <c r="I40" s="54" t="s">
        <v>198</v>
      </c>
      <c r="J40" s="1">
        <v>46828.57</v>
      </c>
      <c r="K40" s="1">
        <f t="shared" si="50"/>
        <v>561942.84</v>
      </c>
      <c r="L40" s="24">
        <f t="shared" si="73"/>
        <v>6.8679795570538559E-3</v>
      </c>
      <c r="M40" s="19">
        <v>388</v>
      </c>
      <c r="N40" s="2">
        <f>M40*J40</f>
        <v>18169485.16</v>
      </c>
      <c r="O40" s="2">
        <f t="shared" si="52"/>
        <v>218033821.92000002</v>
      </c>
      <c r="P40" s="71">
        <v>0.11</v>
      </c>
      <c r="Q40" s="1">
        <f t="shared" si="71"/>
        <v>61.8137124</v>
      </c>
      <c r="R40" s="35">
        <v>0</v>
      </c>
      <c r="S40" s="35">
        <f t="shared" si="1"/>
        <v>0</v>
      </c>
      <c r="T40" s="36">
        <v>0</v>
      </c>
      <c r="U40" s="37">
        <f t="shared" si="125"/>
        <v>0</v>
      </c>
      <c r="V40" s="37">
        <f t="shared" si="118"/>
        <v>0</v>
      </c>
      <c r="W40" s="38">
        <v>0</v>
      </c>
      <c r="X40" s="35">
        <f t="shared" si="119"/>
        <v>0</v>
      </c>
      <c r="Y40" s="35">
        <f t="shared" si="4"/>
        <v>0</v>
      </c>
      <c r="Z40" s="37">
        <f t="shared" si="120"/>
        <v>0</v>
      </c>
      <c r="AA40" s="61">
        <v>2.1907999999999999</v>
      </c>
      <c r="AB40" s="35">
        <f t="shared" si="54"/>
        <v>0</v>
      </c>
      <c r="AC40" s="27">
        <v>0</v>
      </c>
      <c r="AD40" s="27">
        <f t="shared" si="6"/>
        <v>0</v>
      </c>
      <c r="AE40" s="30">
        <v>0</v>
      </c>
      <c r="AF40" s="31">
        <f t="shared" si="126"/>
        <v>0</v>
      </c>
      <c r="AG40" s="31">
        <f t="shared" si="8"/>
        <v>0</v>
      </c>
      <c r="AH40" s="32">
        <v>0</v>
      </c>
      <c r="AI40" s="27">
        <f t="shared" si="55"/>
        <v>0</v>
      </c>
      <c r="AJ40" s="27">
        <f t="shared" si="122"/>
        <v>0</v>
      </c>
      <c r="AK40" s="31">
        <f t="shared" si="121"/>
        <v>0</v>
      </c>
      <c r="AL40" s="27">
        <v>2538.8139999999999</v>
      </c>
      <c r="AM40" s="27">
        <f t="shared" si="56"/>
        <v>0</v>
      </c>
      <c r="AN40" s="42">
        <v>0</v>
      </c>
      <c r="AO40" s="43">
        <f t="shared" si="11"/>
        <v>0</v>
      </c>
      <c r="AP40" s="43">
        <v>0</v>
      </c>
      <c r="AQ40" s="44">
        <f t="shared" si="12"/>
        <v>0</v>
      </c>
      <c r="AR40" s="44">
        <f t="shared" si="13"/>
        <v>0</v>
      </c>
      <c r="AS40" s="45">
        <v>0</v>
      </c>
      <c r="AT40" s="42">
        <f t="shared" si="14"/>
        <v>0</v>
      </c>
      <c r="AU40" s="42">
        <f t="shared" si="57"/>
        <v>0</v>
      </c>
      <c r="AV40" s="44">
        <f t="shared" si="58"/>
        <v>0</v>
      </c>
      <c r="AW40" s="46">
        <v>10.178100000000001</v>
      </c>
      <c r="AX40" s="47">
        <f t="shared" si="59"/>
        <v>0</v>
      </c>
      <c r="AY40" s="7">
        <v>0</v>
      </c>
      <c r="AZ40" s="8">
        <f t="shared" si="15"/>
        <v>0</v>
      </c>
      <c r="BA40" s="8">
        <v>0</v>
      </c>
      <c r="BB40" s="9">
        <f t="shared" si="16"/>
        <v>0</v>
      </c>
      <c r="BC40" s="9">
        <f t="shared" si="17"/>
        <v>0</v>
      </c>
      <c r="BD40" s="10">
        <v>0</v>
      </c>
      <c r="BE40" s="7">
        <f t="shared" si="74"/>
        <v>0</v>
      </c>
      <c r="BF40" s="7">
        <f t="shared" si="18"/>
        <v>0</v>
      </c>
      <c r="BG40" s="9">
        <f t="shared" si="19"/>
        <v>0</v>
      </c>
      <c r="BH40" s="11">
        <v>0</v>
      </c>
      <c r="BI40" s="11">
        <f t="shared" si="20"/>
        <v>0</v>
      </c>
      <c r="BJ40" s="14">
        <v>0</v>
      </c>
      <c r="BK40" s="14">
        <f t="shared" si="21"/>
        <v>0</v>
      </c>
      <c r="BL40" s="15">
        <v>0</v>
      </c>
      <c r="BM40" s="16">
        <f t="shared" si="22"/>
        <v>0</v>
      </c>
      <c r="BN40" s="16">
        <f t="shared" si="23"/>
        <v>0</v>
      </c>
      <c r="BO40" s="17">
        <v>0</v>
      </c>
      <c r="BP40" s="14">
        <f t="shared" si="24"/>
        <v>0</v>
      </c>
      <c r="BQ40" s="14">
        <f t="shared" si="48"/>
        <v>0</v>
      </c>
      <c r="BR40" s="16">
        <f t="shared" si="61"/>
        <v>0</v>
      </c>
      <c r="BS40" s="18">
        <v>3.0512000000000001</v>
      </c>
      <c r="BT40" s="18">
        <f t="shared" si="76"/>
        <v>0</v>
      </c>
      <c r="BU40" s="57">
        <f t="shared" si="62"/>
        <v>46828.57</v>
      </c>
      <c r="BV40" s="57">
        <f t="shared" si="63"/>
        <v>561942.84</v>
      </c>
      <c r="BW40" s="58">
        <f t="shared" si="64"/>
        <v>18169485.16</v>
      </c>
      <c r="BX40" s="58">
        <f t="shared" si="65"/>
        <v>218033821.92000002</v>
      </c>
      <c r="BY40" s="57">
        <f t="shared" si="66"/>
        <v>61.8137124</v>
      </c>
      <c r="BZ40" s="68">
        <v>0.09</v>
      </c>
      <c r="CA40" s="68" t="s">
        <v>106</v>
      </c>
      <c r="CB40" s="68" t="s">
        <v>106</v>
      </c>
      <c r="CC40" s="68" t="s">
        <v>106</v>
      </c>
      <c r="CD40" s="68" t="s">
        <v>106</v>
      </c>
      <c r="CE40" s="77" t="s">
        <v>106</v>
      </c>
      <c r="CF40" s="73">
        <f t="shared" si="72"/>
        <v>0.09</v>
      </c>
      <c r="CG40" s="74">
        <f t="shared" si="123"/>
        <v>50574.855599999995</v>
      </c>
      <c r="CH40" s="75">
        <f t="shared" si="68"/>
        <v>19623043.972800002</v>
      </c>
      <c r="CI40" s="74">
        <f t="shared" si="124"/>
        <v>5.5632341159999994</v>
      </c>
    </row>
    <row r="41" spans="1:89" ht="21" customHeight="1">
      <c r="A41" s="23">
        <v>2</v>
      </c>
      <c r="B41" s="23">
        <v>2019</v>
      </c>
      <c r="C41" s="23" t="s">
        <v>165</v>
      </c>
      <c r="D41" s="23" t="s">
        <v>217</v>
      </c>
      <c r="E41" s="23" t="s">
        <v>108</v>
      </c>
      <c r="F41" s="23" t="s">
        <v>183</v>
      </c>
      <c r="G41" s="92" t="s">
        <v>110</v>
      </c>
      <c r="H41" s="51">
        <v>340</v>
      </c>
      <c r="I41" s="54" t="s">
        <v>218</v>
      </c>
      <c r="J41" s="1">
        <v>263994</v>
      </c>
      <c r="K41" s="1">
        <f t="shared" si="50"/>
        <v>3167928</v>
      </c>
      <c r="L41" s="24">
        <f t="shared" si="73"/>
        <v>776.45294117647063</v>
      </c>
      <c r="M41" s="19">
        <f>N41/J41</f>
        <v>793.2224974810033</v>
      </c>
      <c r="N41" s="2">
        <v>209405980</v>
      </c>
      <c r="O41" s="2">
        <f t="shared" si="52"/>
        <v>2512871760</v>
      </c>
      <c r="P41" s="71">
        <v>0.11</v>
      </c>
      <c r="Q41" s="1">
        <f t="shared" si="71"/>
        <v>348.47208000000001</v>
      </c>
      <c r="R41" s="35">
        <v>9779</v>
      </c>
      <c r="S41" s="35">
        <f>+R41*12</f>
        <v>117348</v>
      </c>
      <c r="T41" s="39">
        <v>1366.84</v>
      </c>
      <c r="U41" s="37">
        <f t="shared" si="125"/>
        <v>13366328.359999999</v>
      </c>
      <c r="V41" s="37">
        <f t="shared" si="118"/>
        <v>160395940.31999999</v>
      </c>
      <c r="W41" s="38">
        <v>39498</v>
      </c>
      <c r="X41" s="35">
        <v>107293</v>
      </c>
      <c r="Y41" s="35">
        <f t="shared" si="4"/>
        <v>1287516</v>
      </c>
      <c r="Z41" s="37">
        <f t="shared" si="120"/>
        <v>124.57782297074365</v>
      </c>
      <c r="AA41" s="61">
        <v>2.1907999999999999</v>
      </c>
      <c r="AB41" s="35">
        <f t="shared" si="54"/>
        <v>257.08599839999999</v>
      </c>
      <c r="AC41" s="27">
        <v>0</v>
      </c>
      <c r="AD41" s="27">
        <f t="shared" si="6"/>
        <v>0</v>
      </c>
      <c r="AE41" s="30">
        <v>0</v>
      </c>
      <c r="AF41" s="31">
        <f t="shared" si="126"/>
        <v>0</v>
      </c>
      <c r="AG41" s="31">
        <f t="shared" si="8"/>
        <v>0</v>
      </c>
      <c r="AH41" s="32">
        <v>0</v>
      </c>
      <c r="AI41" s="27">
        <f t="shared" si="55"/>
        <v>0</v>
      </c>
      <c r="AJ41" s="27">
        <f t="shared" si="122"/>
        <v>0</v>
      </c>
      <c r="AK41" s="31">
        <f t="shared" si="121"/>
        <v>0</v>
      </c>
      <c r="AL41" s="27">
        <v>2538.8139999999999</v>
      </c>
      <c r="AM41" s="27">
        <f t="shared" si="56"/>
        <v>0</v>
      </c>
      <c r="AN41" s="42">
        <v>0</v>
      </c>
      <c r="AO41" s="43">
        <f t="shared" si="11"/>
        <v>0</v>
      </c>
      <c r="AP41" s="43">
        <v>0</v>
      </c>
      <c r="AQ41" s="44">
        <f t="shared" si="12"/>
        <v>0</v>
      </c>
      <c r="AR41" s="44">
        <f t="shared" si="13"/>
        <v>0</v>
      </c>
      <c r="AS41" s="45">
        <v>0</v>
      </c>
      <c r="AT41" s="42">
        <f t="shared" si="14"/>
        <v>0</v>
      </c>
      <c r="AU41" s="42">
        <f t="shared" si="57"/>
        <v>0</v>
      </c>
      <c r="AV41" s="44">
        <f t="shared" si="58"/>
        <v>0</v>
      </c>
      <c r="AW41" s="46">
        <v>10.178100000000001</v>
      </c>
      <c r="AX41" s="47">
        <f t="shared" si="59"/>
        <v>0</v>
      </c>
      <c r="AY41" s="7">
        <v>0</v>
      </c>
      <c r="AZ41" s="8">
        <f t="shared" si="15"/>
        <v>0</v>
      </c>
      <c r="BA41" s="8">
        <v>0</v>
      </c>
      <c r="BB41" s="9">
        <f t="shared" si="16"/>
        <v>0</v>
      </c>
      <c r="BC41" s="9">
        <f t="shared" si="17"/>
        <v>0</v>
      </c>
      <c r="BD41" s="10">
        <v>0</v>
      </c>
      <c r="BE41" s="7">
        <f t="shared" si="74"/>
        <v>0</v>
      </c>
      <c r="BF41" s="7">
        <f t="shared" si="18"/>
        <v>0</v>
      </c>
      <c r="BG41" s="9">
        <f t="shared" si="19"/>
        <v>0</v>
      </c>
      <c r="BH41" s="11">
        <v>0</v>
      </c>
      <c r="BI41" s="11">
        <f t="shared" si="20"/>
        <v>0</v>
      </c>
      <c r="BJ41" s="14">
        <v>0</v>
      </c>
      <c r="BK41" s="14">
        <f t="shared" si="21"/>
        <v>0</v>
      </c>
      <c r="BL41" s="15">
        <v>0</v>
      </c>
      <c r="BM41" s="16">
        <f t="shared" si="22"/>
        <v>0</v>
      </c>
      <c r="BN41" s="16">
        <f t="shared" si="23"/>
        <v>0</v>
      </c>
      <c r="BO41" s="17">
        <v>0</v>
      </c>
      <c r="BP41" s="14">
        <f t="shared" si="24"/>
        <v>0</v>
      </c>
      <c r="BQ41" s="14">
        <f t="shared" si="48"/>
        <v>0</v>
      </c>
      <c r="BR41" s="16">
        <f t="shared" si="61"/>
        <v>0</v>
      </c>
      <c r="BS41" s="18">
        <v>3.0512000000000001</v>
      </c>
      <c r="BT41" s="18">
        <f t="shared" si="76"/>
        <v>0</v>
      </c>
      <c r="BU41" s="57">
        <f t="shared" si="62"/>
        <v>371287</v>
      </c>
      <c r="BV41" s="57">
        <f t="shared" si="63"/>
        <v>4455444</v>
      </c>
      <c r="BW41" s="58">
        <f t="shared" si="64"/>
        <v>222772308.36000001</v>
      </c>
      <c r="BX41" s="58">
        <f t="shared" si="65"/>
        <v>2673267700.3200002</v>
      </c>
      <c r="BY41" s="57">
        <f t="shared" si="66"/>
        <v>605.5580784</v>
      </c>
      <c r="BZ41" s="68">
        <v>0.15340000000000001</v>
      </c>
      <c r="CA41" s="68">
        <v>0.1101</v>
      </c>
      <c r="CB41" s="68" t="s">
        <v>106</v>
      </c>
      <c r="CC41" s="68" t="s">
        <v>106</v>
      </c>
      <c r="CD41" s="68" t="s">
        <v>106</v>
      </c>
      <c r="CE41" s="77" t="s">
        <v>106</v>
      </c>
      <c r="CF41" s="73">
        <f t="shared" si="72"/>
        <v>0.14088734294494556</v>
      </c>
      <c r="CG41" s="74">
        <f t="shared" si="123"/>
        <v>627715.66680000001</v>
      </c>
      <c r="CH41" s="75">
        <f t="shared" si="68"/>
        <v>403134121.01323205</v>
      </c>
      <c r="CI41" s="74">
        <f t="shared" si="124"/>
        <v>81.760785495839997</v>
      </c>
    </row>
    <row r="42" spans="1:89" ht="21" customHeight="1">
      <c r="A42" s="3">
        <v>1</v>
      </c>
      <c r="B42" s="3">
        <v>2018</v>
      </c>
      <c r="C42" s="3" t="s">
        <v>165</v>
      </c>
      <c r="D42" s="3" t="s">
        <v>219</v>
      </c>
      <c r="E42" s="3" t="s">
        <v>200</v>
      </c>
      <c r="F42" s="3" t="s">
        <v>186</v>
      </c>
      <c r="G42" s="92" t="s">
        <v>110</v>
      </c>
      <c r="H42" s="51">
        <v>1590</v>
      </c>
      <c r="I42" s="54" t="s">
        <v>220</v>
      </c>
      <c r="J42" s="1">
        <v>89324</v>
      </c>
      <c r="K42" s="1">
        <f t="shared" si="50"/>
        <v>1071888</v>
      </c>
      <c r="L42" s="24">
        <f t="shared" si="73"/>
        <v>56.17861635220126</v>
      </c>
      <c r="M42" s="19">
        <f>N42/J42</f>
        <v>382.0030450942636</v>
      </c>
      <c r="N42" s="2">
        <v>34122040</v>
      </c>
      <c r="O42" s="2">
        <f t="shared" si="52"/>
        <v>409464480</v>
      </c>
      <c r="P42" s="71">
        <v>0.41099999999999998</v>
      </c>
      <c r="Q42" s="1">
        <f t="shared" si="71"/>
        <v>440.54596800000002</v>
      </c>
      <c r="R42" s="35">
        <v>3346</v>
      </c>
      <c r="S42" s="35">
        <f t="shared" si="1"/>
        <v>40152</v>
      </c>
      <c r="T42" s="48">
        <v>156</v>
      </c>
      <c r="U42" s="37">
        <f t="shared" si="125"/>
        <v>521976</v>
      </c>
      <c r="V42" s="37">
        <f t="shared" si="118"/>
        <v>6263712</v>
      </c>
      <c r="W42" s="38">
        <v>36457.26</v>
      </c>
      <c r="X42" s="35">
        <v>33885</v>
      </c>
      <c r="Y42" s="35">
        <f t="shared" si="4"/>
        <v>406620</v>
      </c>
      <c r="Z42" s="37">
        <f>IFERROR(V42/Y42,0)</f>
        <v>15.404338202744578</v>
      </c>
      <c r="AA42" s="61">
        <v>1.9850000000000001</v>
      </c>
      <c r="AB42" s="35">
        <f t="shared" si="54"/>
        <v>79.701719999999995</v>
      </c>
      <c r="AC42" s="27">
        <v>0</v>
      </c>
      <c r="AD42" s="27">
        <f t="shared" si="6"/>
        <v>0</v>
      </c>
      <c r="AE42" s="30">
        <v>0</v>
      </c>
      <c r="AF42" s="31">
        <f t="shared" si="126"/>
        <v>0</v>
      </c>
      <c r="AG42" s="31">
        <f t="shared" si="8"/>
        <v>0</v>
      </c>
      <c r="AH42" s="32">
        <v>0</v>
      </c>
      <c r="AI42" s="27">
        <f t="shared" si="55"/>
        <v>0</v>
      </c>
      <c r="AJ42" s="27">
        <f t="shared" si="122"/>
        <v>0</v>
      </c>
      <c r="AK42" s="31">
        <f t="shared" si="121"/>
        <v>0</v>
      </c>
      <c r="AL42" s="27">
        <v>2538.8139999999999</v>
      </c>
      <c r="AM42" s="27">
        <f t="shared" si="56"/>
        <v>0</v>
      </c>
      <c r="AN42" s="42">
        <v>0</v>
      </c>
      <c r="AO42" s="43">
        <f t="shared" si="11"/>
        <v>0</v>
      </c>
      <c r="AP42" s="43">
        <v>0</v>
      </c>
      <c r="AQ42" s="44">
        <f t="shared" si="12"/>
        <v>0</v>
      </c>
      <c r="AR42" s="44">
        <f t="shared" si="13"/>
        <v>0</v>
      </c>
      <c r="AS42" s="45">
        <v>0</v>
      </c>
      <c r="AT42" s="42">
        <f t="shared" si="14"/>
        <v>0</v>
      </c>
      <c r="AU42" s="42">
        <f t="shared" si="57"/>
        <v>0</v>
      </c>
      <c r="AV42" s="44">
        <f t="shared" si="58"/>
        <v>0</v>
      </c>
      <c r="AW42" s="46">
        <v>10.178100000000001</v>
      </c>
      <c r="AX42" s="47">
        <f t="shared" si="59"/>
        <v>0</v>
      </c>
      <c r="AY42" s="7">
        <v>0</v>
      </c>
      <c r="AZ42" s="8">
        <f t="shared" si="15"/>
        <v>0</v>
      </c>
      <c r="BA42" s="8">
        <v>0</v>
      </c>
      <c r="BB42" s="9">
        <f t="shared" si="16"/>
        <v>0</v>
      </c>
      <c r="BC42" s="9">
        <f t="shared" si="17"/>
        <v>0</v>
      </c>
      <c r="BD42" s="10">
        <v>0</v>
      </c>
      <c r="BE42" s="7">
        <f t="shared" si="74"/>
        <v>0</v>
      </c>
      <c r="BF42" s="7">
        <f t="shared" si="18"/>
        <v>0</v>
      </c>
      <c r="BG42" s="9">
        <f t="shared" si="19"/>
        <v>0</v>
      </c>
      <c r="BH42" s="11">
        <v>0</v>
      </c>
      <c r="BI42" s="11">
        <f t="shared" si="20"/>
        <v>0</v>
      </c>
      <c r="BJ42" s="14">
        <v>0</v>
      </c>
      <c r="BK42" s="14">
        <f t="shared" si="21"/>
        <v>0</v>
      </c>
      <c r="BL42" s="15">
        <v>0</v>
      </c>
      <c r="BM42" s="16">
        <f t="shared" si="22"/>
        <v>0</v>
      </c>
      <c r="BN42" s="16">
        <f t="shared" si="23"/>
        <v>0</v>
      </c>
      <c r="BO42" s="17">
        <v>0</v>
      </c>
      <c r="BP42" s="14">
        <f t="shared" si="24"/>
        <v>0</v>
      </c>
      <c r="BQ42" s="14">
        <f t="shared" si="48"/>
        <v>0</v>
      </c>
      <c r="BR42" s="16">
        <f t="shared" si="61"/>
        <v>0</v>
      </c>
      <c r="BS42" s="18">
        <v>3.0512000000000001</v>
      </c>
      <c r="BT42" s="18">
        <f t="shared" si="76"/>
        <v>0</v>
      </c>
      <c r="BU42" s="57">
        <f t="shared" si="62"/>
        <v>123209</v>
      </c>
      <c r="BV42" s="57">
        <f t="shared" si="63"/>
        <v>1478508</v>
      </c>
      <c r="BW42" s="58">
        <f t="shared" si="64"/>
        <v>34644016</v>
      </c>
      <c r="BX42" s="58">
        <f t="shared" si="65"/>
        <v>415728192</v>
      </c>
      <c r="BY42" s="57">
        <f t="shared" si="66"/>
        <v>520.24768800000004</v>
      </c>
      <c r="BZ42" s="68">
        <v>0.06</v>
      </c>
      <c r="CA42" s="68">
        <v>4.2500000000000003E-2</v>
      </c>
      <c r="CB42" s="68" t="s">
        <v>106</v>
      </c>
      <c r="CC42" s="68" t="s">
        <v>106</v>
      </c>
      <c r="CD42" s="68" t="s">
        <v>106</v>
      </c>
      <c r="CE42" s="77" t="s">
        <v>106</v>
      </c>
      <c r="CF42" s="73">
        <f t="shared" si="72"/>
        <v>5.5187141361426523E-2</v>
      </c>
      <c r="CG42" s="74">
        <f t="shared" si="123"/>
        <v>81594.63</v>
      </c>
      <c r="CH42" s="75">
        <f t="shared" si="68"/>
        <v>24834076.560000002</v>
      </c>
      <c r="CI42" s="74">
        <f t="shared" si="124"/>
        <v>29.820081179999999</v>
      </c>
    </row>
    <row r="43" spans="1:89" ht="21" customHeight="1">
      <c r="A43" s="3">
        <v>1</v>
      </c>
      <c r="B43" s="3">
        <v>2018</v>
      </c>
      <c r="C43" s="3" t="s">
        <v>165</v>
      </c>
      <c r="D43" s="3" t="s">
        <v>221</v>
      </c>
      <c r="E43" s="3" t="s">
        <v>200</v>
      </c>
      <c r="F43" s="3" t="s">
        <v>167</v>
      </c>
      <c r="G43" s="92" t="s">
        <v>110</v>
      </c>
      <c r="H43" s="51">
        <v>7500</v>
      </c>
      <c r="I43" s="54" t="s">
        <v>222</v>
      </c>
      <c r="J43" s="1">
        <v>366518.63</v>
      </c>
      <c r="K43" s="1">
        <f t="shared" si="50"/>
        <v>4398223.5600000005</v>
      </c>
      <c r="L43" s="24">
        <f t="shared" si="73"/>
        <v>48.86915066666667</v>
      </c>
      <c r="M43" s="48">
        <v>359</v>
      </c>
      <c r="N43" s="66">
        <f>+M43*J43</f>
        <v>131580188.17</v>
      </c>
      <c r="O43" s="66">
        <f t="shared" si="52"/>
        <v>1578962258.04</v>
      </c>
      <c r="P43" s="3">
        <v>0.36699999999999999</v>
      </c>
      <c r="Q43" s="1">
        <f t="shared" si="71"/>
        <v>1614.14804652</v>
      </c>
      <c r="R43" s="35">
        <v>2670</v>
      </c>
      <c r="S43" s="35">
        <f t="shared" si="1"/>
        <v>32040</v>
      </c>
      <c r="T43" s="48">
        <v>1500</v>
      </c>
      <c r="U43" s="66">
        <f>+T43*R43</f>
        <v>4005000</v>
      </c>
      <c r="V43" s="66">
        <f t="shared" si="118"/>
        <v>48060000</v>
      </c>
      <c r="W43" s="67">
        <v>40000</v>
      </c>
      <c r="X43" s="35">
        <v>26239.46</v>
      </c>
      <c r="Y43" s="35">
        <f t="shared" si="4"/>
        <v>314873.52</v>
      </c>
      <c r="Z43" s="66">
        <f t="shared" si="120"/>
        <v>152.6327142403083</v>
      </c>
      <c r="AA43" s="61">
        <v>2.1907999999999999</v>
      </c>
      <c r="AB43" s="35">
        <f t="shared" si="54"/>
        <v>70.193231999999995</v>
      </c>
      <c r="AC43" s="27">
        <v>0</v>
      </c>
      <c r="AD43" s="27">
        <f t="shared" si="6"/>
        <v>0</v>
      </c>
      <c r="AE43" s="30">
        <v>0</v>
      </c>
      <c r="AF43" s="31">
        <f t="shared" si="126"/>
        <v>0</v>
      </c>
      <c r="AG43" s="31">
        <f t="shared" si="8"/>
        <v>0</v>
      </c>
      <c r="AH43" s="32">
        <v>0</v>
      </c>
      <c r="AI43" s="27">
        <f t="shared" si="55"/>
        <v>0</v>
      </c>
      <c r="AJ43" s="27">
        <f t="shared" si="122"/>
        <v>0</v>
      </c>
      <c r="AK43" s="31">
        <f t="shared" si="121"/>
        <v>0</v>
      </c>
      <c r="AL43" s="27">
        <v>2538.8139999999999</v>
      </c>
      <c r="AM43" s="27">
        <f t="shared" si="56"/>
        <v>0</v>
      </c>
      <c r="AN43" s="42">
        <v>0</v>
      </c>
      <c r="AO43" s="43">
        <f t="shared" si="11"/>
        <v>0</v>
      </c>
      <c r="AP43" s="43">
        <v>0</v>
      </c>
      <c r="AQ43" s="44">
        <f t="shared" si="12"/>
        <v>0</v>
      </c>
      <c r="AR43" s="44">
        <f t="shared" si="13"/>
        <v>0</v>
      </c>
      <c r="AS43" s="45">
        <v>0</v>
      </c>
      <c r="AT43" s="42">
        <f t="shared" si="14"/>
        <v>0</v>
      </c>
      <c r="AU43" s="42">
        <f t="shared" si="57"/>
        <v>0</v>
      </c>
      <c r="AV43" s="44">
        <f t="shared" si="58"/>
        <v>0</v>
      </c>
      <c r="AW43" s="46">
        <v>10.178100000000001</v>
      </c>
      <c r="AX43" s="47">
        <f t="shared" si="59"/>
        <v>0</v>
      </c>
      <c r="AY43" s="7">
        <v>0</v>
      </c>
      <c r="AZ43" s="8">
        <f t="shared" si="15"/>
        <v>0</v>
      </c>
      <c r="BA43" s="8">
        <v>0</v>
      </c>
      <c r="BB43" s="9">
        <f t="shared" si="16"/>
        <v>0</v>
      </c>
      <c r="BC43" s="9">
        <f t="shared" si="17"/>
        <v>0</v>
      </c>
      <c r="BD43" s="10">
        <v>0</v>
      </c>
      <c r="BE43" s="7">
        <f t="shared" si="74"/>
        <v>0</v>
      </c>
      <c r="BF43" s="7">
        <f t="shared" si="18"/>
        <v>0</v>
      </c>
      <c r="BG43" s="9">
        <f t="shared" si="19"/>
        <v>0</v>
      </c>
      <c r="BH43" s="11">
        <v>0</v>
      </c>
      <c r="BI43" s="11">
        <f t="shared" si="20"/>
        <v>0</v>
      </c>
      <c r="BJ43" s="14">
        <v>0</v>
      </c>
      <c r="BK43" s="14">
        <f t="shared" si="21"/>
        <v>0</v>
      </c>
      <c r="BL43" s="15">
        <v>0</v>
      </c>
      <c r="BM43" s="16">
        <f t="shared" si="22"/>
        <v>0</v>
      </c>
      <c r="BN43" s="16">
        <f t="shared" si="23"/>
        <v>0</v>
      </c>
      <c r="BO43" s="17">
        <v>0</v>
      </c>
      <c r="BP43" s="14">
        <f t="shared" si="24"/>
        <v>0</v>
      </c>
      <c r="BQ43" s="14">
        <f t="shared" si="48"/>
        <v>0</v>
      </c>
      <c r="BR43" s="16">
        <f t="shared" si="61"/>
        <v>0</v>
      </c>
      <c r="BS43" s="18">
        <v>3.0512000000000001</v>
      </c>
      <c r="BT43" s="18">
        <f t="shared" si="76"/>
        <v>0</v>
      </c>
      <c r="BU43" s="57">
        <f t="shared" si="62"/>
        <v>392758.09</v>
      </c>
      <c r="BV43" s="57">
        <f t="shared" si="63"/>
        <v>4713097.08</v>
      </c>
      <c r="BW43" s="58">
        <f t="shared" si="64"/>
        <v>135585188.17000002</v>
      </c>
      <c r="BX43" s="58">
        <f t="shared" si="65"/>
        <v>1627022258.0400002</v>
      </c>
      <c r="BY43" s="57">
        <f t="shared" si="66"/>
        <v>1684.3412785200001</v>
      </c>
      <c r="BZ43" s="68">
        <v>3.9399999999999998E-2</v>
      </c>
      <c r="CA43" s="68"/>
      <c r="CB43" s="68" t="s">
        <v>106</v>
      </c>
      <c r="CC43" s="68" t="s">
        <v>106</v>
      </c>
      <c r="CD43" s="68" t="s">
        <v>106</v>
      </c>
      <c r="CE43" s="77" t="s">
        <v>106</v>
      </c>
      <c r="CF43" s="73">
        <f t="shared" si="72"/>
        <v>3.6767757023158966E-2</v>
      </c>
      <c r="CG43" s="74">
        <f t="shared" si="123"/>
        <v>173290.008264</v>
      </c>
      <c r="CH43" s="75">
        <f t="shared" si="68"/>
        <v>62211112.966775991</v>
      </c>
      <c r="CI43" s="74">
        <f t="shared" si="124"/>
        <v>63.597433032887999</v>
      </c>
    </row>
    <row r="44" spans="1:89" ht="21" customHeight="1">
      <c r="A44" s="3">
        <v>1</v>
      </c>
      <c r="B44" s="3">
        <v>2018</v>
      </c>
      <c r="C44" s="3" t="s">
        <v>165</v>
      </c>
      <c r="D44" s="3" t="s">
        <v>223</v>
      </c>
      <c r="E44" s="3" t="s">
        <v>224</v>
      </c>
      <c r="F44" s="3" t="s">
        <v>167</v>
      </c>
      <c r="G44" s="92" t="s">
        <v>110</v>
      </c>
      <c r="H44" s="51">
        <v>860526</v>
      </c>
      <c r="I44" s="54" t="s">
        <v>225</v>
      </c>
      <c r="J44" s="1">
        <v>2273197</v>
      </c>
      <c r="K44" s="1">
        <f t="shared" si="50"/>
        <v>27278364</v>
      </c>
      <c r="L44" s="24">
        <f t="shared" si="73"/>
        <v>2.6416366269002913</v>
      </c>
      <c r="M44" s="19">
        <f>N44/J44</f>
        <v>76.80812529666369</v>
      </c>
      <c r="N44" s="2">
        <f>970000000*0.18</f>
        <v>174600000</v>
      </c>
      <c r="O44" s="2">
        <f t="shared" si="52"/>
        <v>2095200000</v>
      </c>
      <c r="P44" s="3">
        <v>0.40100000000000002</v>
      </c>
      <c r="Q44" s="1">
        <f t="shared" si="71"/>
        <v>10938.623964000002</v>
      </c>
      <c r="R44" s="35">
        <v>500000</v>
      </c>
      <c r="S44" s="35">
        <f t="shared" si="1"/>
        <v>6000000</v>
      </c>
      <c r="T44" s="39">
        <v>608</v>
      </c>
      <c r="U44" s="37">
        <f>970000000*0.82</f>
        <v>795400000</v>
      </c>
      <c r="V44" s="37">
        <f>+U44*12</f>
        <v>9544800000</v>
      </c>
      <c r="W44" s="38">
        <v>39498</v>
      </c>
      <c r="X44" s="35">
        <v>13550837.800000001</v>
      </c>
      <c r="Y44" s="35">
        <f t="shared" si="4"/>
        <v>162610053.60000002</v>
      </c>
      <c r="Z44" s="37">
        <f>IFERROR(V44/Y44,0)</f>
        <v>58.697477730860292</v>
      </c>
      <c r="AA44" s="61">
        <v>2.1907999999999999</v>
      </c>
      <c r="AB44" s="35">
        <f t="shared" si="54"/>
        <v>13144.8</v>
      </c>
      <c r="AC44" s="27">
        <v>0</v>
      </c>
      <c r="AD44" s="27">
        <f t="shared" si="6"/>
        <v>0</v>
      </c>
      <c r="AE44" s="30">
        <v>0</v>
      </c>
      <c r="AF44" s="31">
        <f t="shared" si="126"/>
        <v>0</v>
      </c>
      <c r="AG44" s="31">
        <f t="shared" si="8"/>
        <v>0</v>
      </c>
      <c r="AH44" s="32">
        <v>0</v>
      </c>
      <c r="AI44" s="27">
        <f t="shared" si="55"/>
        <v>0</v>
      </c>
      <c r="AJ44" s="27">
        <f t="shared" si="122"/>
        <v>0</v>
      </c>
      <c r="AK44" s="31">
        <f t="shared" si="121"/>
        <v>0</v>
      </c>
      <c r="AL44" s="27">
        <v>2538.8139999999999</v>
      </c>
      <c r="AM44" s="27">
        <f t="shared" si="56"/>
        <v>0</v>
      </c>
      <c r="AN44" s="42">
        <v>0</v>
      </c>
      <c r="AO44" s="43">
        <f t="shared" si="11"/>
        <v>0</v>
      </c>
      <c r="AP44" s="43">
        <v>0</v>
      </c>
      <c r="AQ44" s="44">
        <f t="shared" si="12"/>
        <v>0</v>
      </c>
      <c r="AR44" s="44">
        <f t="shared" si="13"/>
        <v>0</v>
      </c>
      <c r="AS44" s="45">
        <v>0</v>
      </c>
      <c r="AT44" s="42">
        <f t="shared" si="14"/>
        <v>0</v>
      </c>
      <c r="AU44" s="42">
        <f t="shared" si="57"/>
        <v>0</v>
      </c>
      <c r="AV44" s="44">
        <f t="shared" si="58"/>
        <v>0</v>
      </c>
      <c r="AW44" s="46">
        <v>10.178100000000001</v>
      </c>
      <c r="AX44" s="47">
        <f t="shared" si="59"/>
        <v>0</v>
      </c>
      <c r="AY44" s="7">
        <v>0</v>
      </c>
      <c r="AZ44" s="8">
        <f t="shared" si="15"/>
        <v>0</v>
      </c>
      <c r="BA44" s="8">
        <v>0</v>
      </c>
      <c r="BB44" s="9">
        <f t="shared" si="16"/>
        <v>0</v>
      </c>
      <c r="BC44" s="9">
        <f t="shared" si="17"/>
        <v>0</v>
      </c>
      <c r="BD44" s="10">
        <v>0</v>
      </c>
      <c r="BE44" s="7">
        <f t="shared" si="74"/>
        <v>0</v>
      </c>
      <c r="BF44" s="7">
        <f t="shared" si="18"/>
        <v>0</v>
      </c>
      <c r="BG44" s="9">
        <f t="shared" si="19"/>
        <v>0</v>
      </c>
      <c r="BH44" s="11">
        <v>0</v>
      </c>
      <c r="BI44" s="11">
        <f t="shared" si="20"/>
        <v>0</v>
      </c>
      <c r="BJ44" s="14">
        <v>0</v>
      </c>
      <c r="BK44" s="14">
        <f t="shared" si="21"/>
        <v>0</v>
      </c>
      <c r="BL44" s="15">
        <v>0</v>
      </c>
      <c r="BM44" s="16">
        <f t="shared" si="22"/>
        <v>0</v>
      </c>
      <c r="BN44" s="16">
        <f t="shared" si="23"/>
        <v>0</v>
      </c>
      <c r="BO44" s="17">
        <v>0</v>
      </c>
      <c r="BP44" s="14">
        <f t="shared" si="24"/>
        <v>0</v>
      </c>
      <c r="BQ44" s="14">
        <f t="shared" si="48"/>
        <v>0</v>
      </c>
      <c r="BR44" s="16">
        <f t="shared" si="61"/>
        <v>0</v>
      </c>
      <c r="BS44" s="18">
        <v>3.0512000000000001</v>
      </c>
      <c r="BT44" s="18">
        <f t="shared" si="76"/>
        <v>0</v>
      </c>
      <c r="BU44" s="57">
        <f t="shared" si="62"/>
        <v>15824034.800000001</v>
      </c>
      <c r="BV44" s="57">
        <f t="shared" si="63"/>
        <v>189888417.60000002</v>
      </c>
      <c r="BW44" s="58">
        <f t="shared" si="64"/>
        <v>970000000</v>
      </c>
      <c r="BX44" s="58">
        <f t="shared" si="65"/>
        <v>11640000000</v>
      </c>
      <c r="BY44" s="57">
        <f t="shared" si="66"/>
        <v>24083.423964000001</v>
      </c>
      <c r="BZ44" s="68">
        <v>0.04</v>
      </c>
      <c r="CA44" s="68">
        <v>0.05</v>
      </c>
      <c r="CB44" s="68" t="s">
        <v>106</v>
      </c>
      <c r="CC44" s="68" t="s">
        <v>106</v>
      </c>
      <c r="CD44" s="68" t="s">
        <v>106</v>
      </c>
      <c r="CE44" s="77" t="s">
        <v>106</v>
      </c>
      <c r="CF44" s="73">
        <f t="shared" si="72"/>
        <v>4.8563452982295016E-2</v>
      </c>
      <c r="CG44" s="74">
        <f t="shared" si="123"/>
        <v>9221637.2400000021</v>
      </c>
      <c r="CH44" s="75">
        <f t="shared" si="68"/>
        <v>561048000</v>
      </c>
      <c r="CI44" s="74">
        <f t="shared" si="124"/>
        <v>1094.7849585600002</v>
      </c>
    </row>
    <row r="45" spans="1:89" ht="21" customHeight="1">
      <c r="A45" s="3">
        <v>1</v>
      </c>
      <c r="B45" s="3">
        <v>2018</v>
      </c>
      <c r="C45" s="3" t="s">
        <v>165</v>
      </c>
      <c r="D45" s="3" t="s">
        <v>226</v>
      </c>
      <c r="E45" s="23" t="s">
        <v>127</v>
      </c>
      <c r="F45" s="23" t="s">
        <v>178</v>
      </c>
      <c r="G45" s="92" t="s">
        <v>110</v>
      </c>
      <c r="H45" s="51">
        <v>2027000</v>
      </c>
      <c r="I45" s="54" t="s">
        <v>140</v>
      </c>
      <c r="J45" s="1">
        <v>2547079.7999999998</v>
      </c>
      <c r="K45" s="1">
        <f t="shared" si="50"/>
        <v>30564957.599999998</v>
      </c>
      <c r="L45" s="24">
        <f t="shared" si="73"/>
        <v>1.2565761223482979</v>
      </c>
      <c r="M45" s="19">
        <v>283.33999999999997</v>
      </c>
      <c r="N45" s="2">
        <f t="shared" si="51"/>
        <v>721689590.53199983</v>
      </c>
      <c r="O45" s="2">
        <f t="shared" si="52"/>
        <v>8660275086.3839989</v>
      </c>
      <c r="P45" s="71">
        <v>0.38200000000000001</v>
      </c>
      <c r="Q45" s="1">
        <f t="shared" si="71"/>
        <v>11675.813803199999</v>
      </c>
      <c r="R45" s="35">
        <f>(X45*3600)/W45</f>
        <v>360749.38477897615</v>
      </c>
      <c r="S45" s="35">
        <f t="shared" si="1"/>
        <v>4328992.6173477136</v>
      </c>
      <c r="T45" s="39">
        <f>U45/R45</f>
        <v>604.83420209762187</v>
      </c>
      <c r="U45" s="37">
        <v>218193566.30000001</v>
      </c>
      <c r="V45" s="37">
        <f>+U45*12</f>
        <v>2618322795.6000004</v>
      </c>
      <c r="W45" s="38">
        <v>39498</v>
      </c>
      <c r="X45" s="35">
        <v>3958022</v>
      </c>
      <c r="Y45" s="35">
        <f t="shared" si="4"/>
        <v>47496264</v>
      </c>
      <c r="Z45" s="37">
        <f t="shared" si="120"/>
        <v>55.126921047937586</v>
      </c>
      <c r="AA45" s="61">
        <v>4.5</v>
      </c>
      <c r="AB45" s="35">
        <f t="shared" si="54"/>
        <v>19480.466778064714</v>
      </c>
      <c r="AC45" s="62">
        <f>AI45*3.6/(AH45*1000)</f>
        <v>403.19656066602977</v>
      </c>
      <c r="AD45" s="27">
        <f>+AC45*12</f>
        <v>4838.3587279923577</v>
      </c>
      <c r="AE45" s="30">
        <f>AF45/AC45</f>
        <v>236321.46028875562</v>
      </c>
      <c r="AF45" s="31">
        <v>95284000</v>
      </c>
      <c r="AG45" s="31">
        <f>+AF45*12</f>
        <v>1143408000</v>
      </c>
      <c r="AH45" s="32">
        <v>29.308</v>
      </c>
      <c r="AI45" s="27">
        <v>3282468</v>
      </c>
      <c r="AJ45" s="27">
        <f t="shared" si="122"/>
        <v>39389616</v>
      </c>
      <c r="AK45" s="31">
        <f t="shared" si="121"/>
        <v>29.028158081053647</v>
      </c>
      <c r="AL45" s="27">
        <v>3635</v>
      </c>
      <c r="AM45" s="27">
        <f>+(AD45*AL45)/1000</f>
        <v>17587.433976252221</v>
      </c>
      <c r="AN45" s="42">
        <v>0</v>
      </c>
      <c r="AO45" s="43">
        <f t="shared" si="11"/>
        <v>0</v>
      </c>
      <c r="AP45" s="43">
        <v>0</v>
      </c>
      <c r="AQ45" s="44">
        <f t="shared" si="12"/>
        <v>0</v>
      </c>
      <c r="AR45" s="44">
        <f t="shared" si="13"/>
        <v>0</v>
      </c>
      <c r="AS45" s="45">
        <v>0</v>
      </c>
      <c r="AT45" s="42">
        <f t="shared" si="14"/>
        <v>0</v>
      </c>
      <c r="AU45" s="42">
        <f t="shared" si="57"/>
        <v>0</v>
      </c>
      <c r="AV45" s="44">
        <f t="shared" si="58"/>
        <v>0</v>
      </c>
      <c r="AW45" s="46">
        <v>10.178100000000001</v>
      </c>
      <c r="AX45" s="47">
        <f t="shared" si="59"/>
        <v>0</v>
      </c>
      <c r="AY45" s="7">
        <v>0</v>
      </c>
      <c r="AZ45" s="8">
        <f t="shared" si="15"/>
        <v>0</v>
      </c>
      <c r="BA45" s="8">
        <v>0</v>
      </c>
      <c r="BB45" s="9">
        <f t="shared" si="16"/>
        <v>0</v>
      </c>
      <c r="BC45" s="9">
        <f t="shared" si="17"/>
        <v>0</v>
      </c>
      <c r="BD45" s="10">
        <v>0</v>
      </c>
      <c r="BE45" s="7">
        <f t="shared" si="74"/>
        <v>0</v>
      </c>
      <c r="BF45" s="7">
        <f t="shared" si="18"/>
        <v>0</v>
      </c>
      <c r="BG45" s="9">
        <f t="shared" si="19"/>
        <v>0</v>
      </c>
      <c r="BH45" s="11">
        <v>0</v>
      </c>
      <c r="BI45" s="11">
        <f t="shared" si="20"/>
        <v>0</v>
      </c>
      <c r="BJ45" s="14">
        <v>0</v>
      </c>
      <c r="BK45" s="14">
        <f t="shared" si="21"/>
        <v>0</v>
      </c>
      <c r="BL45" s="15">
        <v>0</v>
      </c>
      <c r="BM45" s="16">
        <f t="shared" si="22"/>
        <v>0</v>
      </c>
      <c r="BN45" s="16">
        <f t="shared" si="23"/>
        <v>0</v>
      </c>
      <c r="BO45" s="17">
        <v>0</v>
      </c>
      <c r="BP45" s="14">
        <f t="shared" si="24"/>
        <v>0</v>
      </c>
      <c r="BQ45" s="14">
        <f t="shared" si="48"/>
        <v>0</v>
      </c>
      <c r="BR45" s="16">
        <f t="shared" si="61"/>
        <v>0</v>
      </c>
      <c r="BS45" s="18">
        <v>3.0512000000000001</v>
      </c>
      <c r="BT45" s="18">
        <f t="shared" si="76"/>
        <v>0</v>
      </c>
      <c r="BU45" s="57">
        <f t="shared" si="62"/>
        <v>9787569.8000000007</v>
      </c>
      <c r="BV45" s="57">
        <f t="shared" si="63"/>
        <v>117450837.60000001</v>
      </c>
      <c r="BW45" s="58">
        <f t="shared" si="64"/>
        <v>1035167156.8319998</v>
      </c>
      <c r="BX45" s="58">
        <f t="shared" si="65"/>
        <v>12422005881.983997</v>
      </c>
      <c r="BY45" s="57">
        <f>+Q45+AB45+AM45+AX45+BI45+BT45</f>
        <v>48743.714557516934</v>
      </c>
      <c r="BZ45" s="68">
        <v>7.0000000000000007E-2</v>
      </c>
      <c r="CA45" s="68">
        <v>0.03</v>
      </c>
      <c r="CB45" s="68">
        <v>0.02</v>
      </c>
      <c r="CC45" s="68" t="s">
        <v>106</v>
      </c>
      <c r="CD45" s="68" t="s">
        <v>106</v>
      </c>
      <c r="CE45" s="77" t="s">
        <v>106</v>
      </c>
      <c r="CF45" s="73">
        <f t="shared" si="72"/>
        <v>3.7055736348362997E-2</v>
      </c>
      <c r="CG45" s="74">
        <f t="shared" si="123"/>
        <v>4352227.2719999999</v>
      </c>
      <c r="CH45" s="75">
        <f t="shared" si="68"/>
        <v>707637099.91488004</v>
      </c>
      <c r="CI45" s="74">
        <f t="shared" si="124"/>
        <v>1753.469649090986</v>
      </c>
    </row>
    <row r="46" spans="1:89" ht="21" customHeight="1">
      <c r="A46" s="3">
        <v>1</v>
      </c>
      <c r="B46" s="3">
        <v>2018</v>
      </c>
      <c r="C46" s="3" t="s">
        <v>165</v>
      </c>
      <c r="D46" s="3" t="s">
        <v>227</v>
      </c>
      <c r="E46" s="23" t="s">
        <v>113</v>
      </c>
      <c r="F46" s="23" t="s">
        <v>183</v>
      </c>
      <c r="G46" s="92" t="s">
        <v>110</v>
      </c>
      <c r="H46" s="51">
        <v>5676</v>
      </c>
      <c r="I46" s="54" t="s">
        <v>228</v>
      </c>
      <c r="J46" s="1">
        <v>396136</v>
      </c>
      <c r="K46" s="1">
        <f t="shared" si="50"/>
        <v>4753632</v>
      </c>
      <c r="L46" s="24">
        <f t="shared" si="73"/>
        <v>69.791402396053556</v>
      </c>
      <c r="M46" s="19">
        <v>320</v>
      </c>
      <c r="N46" s="2">
        <f t="shared" si="51"/>
        <v>126763520</v>
      </c>
      <c r="O46" s="2">
        <f t="shared" si="52"/>
        <v>1521162240</v>
      </c>
      <c r="P46" s="71">
        <v>0.41</v>
      </c>
      <c r="Q46" s="1">
        <f t="shared" si="71"/>
        <v>1948.98912</v>
      </c>
      <c r="R46" s="35">
        <v>512945</v>
      </c>
      <c r="S46" s="35">
        <f t="shared" si="1"/>
        <v>6155340</v>
      </c>
      <c r="T46" s="39">
        <v>623</v>
      </c>
      <c r="U46" s="37">
        <f t="shared" ref="U46:U53" si="127">+T46*R46</f>
        <v>319564735</v>
      </c>
      <c r="V46" s="37">
        <f t="shared" si="118"/>
        <v>3834776820</v>
      </c>
      <c r="W46" s="38">
        <f>(X46*3600)/R46</f>
        <v>42120.010527444465</v>
      </c>
      <c r="X46" s="35">
        <v>6001458</v>
      </c>
      <c r="Y46" s="35">
        <f t="shared" si="4"/>
        <v>72017496</v>
      </c>
      <c r="Z46" s="37">
        <f t="shared" si="120"/>
        <v>53.247849939131456</v>
      </c>
      <c r="AA46" s="61">
        <v>1.9850000000000001</v>
      </c>
      <c r="AB46" s="35">
        <f t="shared" si="54"/>
        <v>12218.349900000001</v>
      </c>
      <c r="AC46" s="27">
        <v>0</v>
      </c>
      <c r="AD46" s="27">
        <f t="shared" si="6"/>
        <v>0</v>
      </c>
      <c r="AE46" s="30">
        <v>0</v>
      </c>
      <c r="AF46" s="31">
        <f t="shared" ref="AF46:AF53" si="128">+AE46*AC46</f>
        <v>0</v>
      </c>
      <c r="AG46" s="31">
        <f t="shared" si="8"/>
        <v>0</v>
      </c>
      <c r="AH46" s="32">
        <v>0</v>
      </c>
      <c r="AI46" s="27">
        <f t="shared" si="55"/>
        <v>0</v>
      </c>
      <c r="AJ46" s="27">
        <f t="shared" si="122"/>
        <v>0</v>
      </c>
      <c r="AK46" s="31">
        <f t="shared" si="121"/>
        <v>0</v>
      </c>
      <c r="AL46" s="27">
        <v>2538.8139999999999</v>
      </c>
      <c r="AM46" s="27">
        <f t="shared" si="56"/>
        <v>0</v>
      </c>
      <c r="AN46" s="42">
        <v>0</v>
      </c>
      <c r="AO46" s="43">
        <f t="shared" si="11"/>
        <v>0</v>
      </c>
      <c r="AP46" s="43">
        <v>0</v>
      </c>
      <c r="AQ46" s="44">
        <f t="shared" si="12"/>
        <v>0</v>
      </c>
      <c r="AR46" s="44">
        <f t="shared" si="13"/>
        <v>0</v>
      </c>
      <c r="AS46" s="45">
        <v>0</v>
      </c>
      <c r="AT46" s="42">
        <f t="shared" si="14"/>
        <v>0</v>
      </c>
      <c r="AU46" s="42">
        <f t="shared" si="57"/>
        <v>0</v>
      </c>
      <c r="AV46" s="44">
        <f t="shared" si="58"/>
        <v>0</v>
      </c>
      <c r="AW46" s="46">
        <v>10.178100000000001</v>
      </c>
      <c r="AX46" s="47">
        <f t="shared" si="59"/>
        <v>0</v>
      </c>
      <c r="AY46" s="7">
        <v>0</v>
      </c>
      <c r="AZ46" s="8">
        <f t="shared" si="15"/>
        <v>0</v>
      </c>
      <c r="BA46" s="8">
        <v>0</v>
      </c>
      <c r="BB46" s="9">
        <f t="shared" si="16"/>
        <v>0</v>
      </c>
      <c r="BC46" s="9">
        <f t="shared" si="17"/>
        <v>0</v>
      </c>
      <c r="BD46" s="10">
        <v>0</v>
      </c>
      <c r="BE46" s="7">
        <f t="shared" si="74"/>
        <v>0</v>
      </c>
      <c r="BF46" s="7">
        <f t="shared" si="18"/>
        <v>0</v>
      </c>
      <c r="BG46" s="9">
        <f t="shared" si="19"/>
        <v>0</v>
      </c>
      <c r="BH46" s="11">
        <v>0</v>
      </c>
      <c r="BI46" s="11">
        <f t="shared" si="20"/>
        <v>0</v>
      </c>
      <c r="BJ46" s="14">
        <v>0</v>
      </c>
      <c r="BK46" s="14">
        <f t="shared" si="21"/>
        <v>0</v>
      </c>
      <c r="BL46" s="15">
        <v>0</v>
      </c>
      <c r="BM46" s="16">
        <f t="shared" si="22"/>
        <v>0</v>
      </c>
      <c r="BN46" s="16">
        <f t="shared" si="23"/>
        <v>0</v>
      </c>
      <c r="BO46" s="17">
        <v>0</v>
      </c>
      <c r="BP46" s="14">
        <f t="shared" si="24"/>
        <v>0</v>
      </c>
      <c r="BQ46" s="14">
        <f t="shared" si="48"/>
        <v>0</v>
      </c>
      <c r="BR46" s="16">
        <f t="shared" si="61"/>
        <v>0</v>
      </c>
      <c r="BS46" s="18">
        <v>3.0512000000000001</v>
      </c>
      <c r="BT46" s="18">
        <f t="shared" si="76"/>
        <v>0</v>
      </c>
      <c r="BU46" s="57">
        <f t="shared" si="62"/>
        <v>6397594</v>
      </c>
      <c r="BV46" s="57">
        <f t="shared" si="63"/>
        <v>76771128</v>
      </c>
      <c r="BW46" s="58">
        <f t="shared" si="64"/>
        <v>446328255</v>
      </c>
      <c r="BX46" s="58">
        <f t="shared" si="65"/>
        <v>5355939060</v>
      </c>
      <c r="BY46" s="57">
        <f t="shared" si="66"/>
        <v>14167.339020000001</v>
      </c>
      <c r="BZ46" s="68">
        <v>0.34110000000000001</v>
      </c>
      <c r="CA46" s="68">
        <v>0.16250000000000001</v>
      </c>
      <c r="CB46" s="68" t="s">
        <v>106</v>
      </c>
      <c r="CC46" s="68" t="s">
        <v>106</v>
      </c>
      <c r="CD46" s="68" t="s">
        <v>106</v>
      </c>
      <c r="CE46" s="77" t="s">
        <v>106</v>
      </c>
      <c r="CF46" s="73">
        <f t="shared" si="72"/>
        <v>0.17355882767803019</v>
      </c>
      <c r="CG46" s="74">
        <f t="shared" si="123"/>
        <v>13324306.975199999</v>
      </c>
      <c r="CH46" s="75">
        <f t="shared" si="68"/>
        <v>1142019673.3140001</v>
      </c>
      <c r="CI46" s="74">
        <f t="shared" si="124"/>
        <v>2650.2820475819999</v>
      </c>
    </row>
    <row r="47" spans="1:89" ht="21" customHeight="1">
      <c r="A47" s="3">
        <v>1</v>
      </c>
      <c r="B47" s="3">
        <v>2018</v>
      </c>
      <c r="C47" s="3" t="s">
        <v>165</v>
      </c>
      <c r="D47" s="3" t="s">
        <v>229</v>
      </c>
      <c r="E47" s="25" t="s">
        <v>182</v>
      </c>
      <c r="F47" s="3" t="s">
        <v>178</v>
      </c>
      <c r="G47" s="92" t="s">
        <v>110</v>
      </c>
      <c r="H47" s="51">
        <v>62962</v>
      </c>
      <c r="I47" s="54" t="s">
        <v>230</v>
      </c>
      <c r="J47" s="1">
        <v>768210</v>
      </c>
      <c r="K47" s="1">
        <v>8345748</v>
      </c>
      <c r="L47" s="24">
        <f>+J47/H47</f>
        <v>12.201168959054668</v>
      </c>
      <c r="M47" s="48">
        <v>363</v>
      </c>
      <c r="N47" s="66">
        <f t="shared" si="51"/>
        <v>278860230</v>
      </c>
      <c r="O47" s="66">
        <v>3032761366</v>
      </c>
      <c r="P47" s="3">
        <v>0.41099999999999998</v>
      </c>
      <c r="Q47" s="1">
        <f t="shared" si="71"/>
        <v>3430.1024279999997</v>
      </c>
      <c r="R47" s="35">
        <v>134730</v>
      </c>
      <c r="S47" s="35">
        <f>+R47*12</f>
        <v>1616760</v>
      </c>
      <c r="T47" s="48">
        <v>497</v>
      </c>
      <c r="U47" s="66">
        <f>+T47*R47</f>
        <v>66960810</v>
      </c>
      <c r="V47" s="37">
        <f>+U47*12</f>
        <v>803529720</v>
      </c>
      <c r="W47" s="38">
        <v>39498</v>
      </c>
      <c r="X47" s="35">
        <f>+R47*W47/3600</f>
        <v>1478212.65</v>
      </c>
      <c r="Y47" s="35">
        <v>14665347</v>
      </c>
      <c r="Z47" s="37">
        <f>IFERROR(V47/Y47,0)</f>
        <v>54.791047221726153</v>
      </c>
      <c r="AA47" s="61">
        <v>1.9850000000000001</v>
      </c>
      <c r="AB47" s="35">
        <f>+(S47*AA47)/1000</f>
        <v>3209.2685999999999</v>
      </c>
      <c r="AC47" s="27">
        <v>0</v>
      </c>
      <c r="AD47" s="27">
        <f t="shared" si="6"/>
        <v>0</v>
      </c>
      <c r="AE47" s="30">
        <v>0</v>
      </c>
      <c r="AF47" s="31">
        <f t="shared" si="128"/>
        <v>0</v>
      </c>
      <c r="AG47" s="31">
        <f t="shared" si="8"/>
        <v>0</v>
      </c>
      <c r="AH47" s="32">
        <v>0</v>
      </c>
      <c r="AI47" s="27">
        <f t="shared" si="55"/>
        <v>0</v>
      </c>
      <c r="AJ47" s="27">
        <f t="shared" si="122"/>
        <v>0</v>
      </c>
      <c r="AK47" s="31">
        <f t="shared" si="121"/>
        <v>0</v>
      </c>
      <c r="AL47" s="27">
        <v>2538.8139999999999</v>
      </c>
      <c r="AM47" s="27">
        <f t="shared" si="56"/>
        <v>0</v>
      </c>
      <c r="AN47" s="42">
        <v>0</v>
      </c>
      <c r="AO47" s="43">
        <f t="shared" si="11"/>
        <v>0</v>
      </c>
      <c r="AP47" s="43">
        <v>0</v>
      </c>
      <c r="AQ47" s="44">
        <f t="shared" si="12"/>
        <v>0</v>
      </c>
      <c r="AR47" s="44">
        <f t="shared" si="13"/>
        <v>0</v>
      </c>
      <c r="AS47" s="45">
        <v>0</v>
      </c>
      <c r="AT47" s="42">
        <f t="shared" si="14"/>
        <v>0</v>
      </c>
      <c r="AU47" s="42">
        <f t="shared" si="57"/>
        <v>0</v>
      </c>
      <c r="AV47" s="44">
        <f t="shared" si="58"/>
        <v>0</v>
      </c>
      <c r="AW47" s="46">
        <v>10.178100000000001</v>
      </c>
      <c r="AX47" s="47">
        <f t="shared" si="59"/>
        <v>0</v>
      </c>
      <c r="AY47" s="7">
        <v>0</v>
      </c>
      <c r="AZ47" s="8">
        <f t="shared" si="15"/>
        <v>0</v>
      </c>
      <c r="BA47" s="8">
        <v>0</v>
      </c>
      <c r="BB47" s="9">
        <f t="shared" si="16"/>
        <v>0</v>
      </c>
      <c r="BC47" s="9">
        <f t="shared" si="17"/>
        <v>0</v>
      </c>
      <c r="BD47" s="10">
        <v>0</v>
      </c>
      <c r="BE47" s="7">
        <f t="shared" si="74"/>
        <v>0</v>
      </c>
      <c r="BF47" s="7">
        <f t="shared" si="18"/>
        <v>0</v>
      </c>
      <c r="BG47" s="9">
        <f t="shared" si="19"/>
        <v>0</v>
      </c>
      <c r="BH47" s="11">
        <v>0</v>
      </c>
      <c r="BI47" s="11">
        <f t="shared" si="20"/>
        <v>0</v>
      </c>
      <c r="BJ47" s="14">
        <v>0</v>
      </c>
      <c r="BK47" s="14">
        <f t="shared" si="21"/>
        <v>0</v>
      </c>
      <c r="BL47" s="15">
        <v>0</v>
      </c>
      <c r="BM47" s="16">
        <f t="shared" si="22"/>
        <v>0</v>
      </c>
      <c r="BN47" s="16">
        <f t="shared" si="23"/>
        <v>0</v>
      </c>
      <c r="BO47" s="17">
        <v>0</v>
      </c>
      <c r="BP47" s="14">
        <f t="shared" si="24"/>
        <v>0</v>
      </c>
      <c r="BQ47" s="14">
        <f t="shared" si="48"/>
        <v>0</v>
      </c>
      <c r="BR47" s="16">
        <f t="shared" si="61"/>
        <v>0</v>
      </c>
      <c r="BS47" s="18">
        <v>3.0512000000000001</v>
      </c>
      <c r="BT47" s="18">
        <f t="shared" si="76"/>
        <v>0</v>
      </c>
      <c r="BU47" s="57">
        <f t="shared" si="62"/>
        <v>2246422.65</v>
      </c>
      <c r="BV47" s="57">
        <f t="shared" si="63"/>
        <v>26957071.799999997</v>
      </c>
      <c r="BW47" s="58">
        <f t="shared" si="64"/>
        <v>345821040</v>
      </c>
      <c r="BX47" s="58">
        <f t="shared" si="65"/>
        <v>4149852480</v>
      </c>
      <c r="BY47" s="57">
        <f>+Q47+AB47+AM47+AX47+BI47+BT47</f>
        <v>6639.3710279999996</v>
      </c>
      <c r="BZ47" s="68">
        <v>0.105</v>
      </c>
      <c r="CA47" s="68">
        <v>0.15</v>
      </c>
      <c r="CB47" s="68" t="s">
        <v>106</v>
      </c>
      <c r="CC47" s="68" t="s">
        <v>106</v>
      </c>
      <c r="CD47" s="68" t="s">
        <v>106</v>
      </c>
      <c r="CE47" s="77" t="s">
        <v>106</v>
      </c>
      <c r="CF47" s="73">
        <f t="shared" si="72"/>
        <v>0.11411126597214465</v>
      </c>
      <c r="CG47" s="74">
        <f t="shared" si="123"/>
        <v>3076105.59</v>
      </c>
      <c r="CH47" s="75">
        <f t="shared" si="68"/>
        <v>438969401.43000001</v>
      </c>
      <c r="CI47" s="74">
        <f t="shared" si="124"/>
        <v>841.55104493999988</v>
      </c>
    </row>
    <row r="48" spans="1:89" ht="21" customHeight="1">
      <c r="A48" s="3">
        <v>1</v>
      </c>
      <c r="B48" s="3">
        <v>2018</v>
      </c>
      <c r="C48" s="3" t="s">
        <v>138</v>
      </c>
      <c r="D48" s="3" t="s">
        <v>231</v>
      </c>
      <c r="E48" s="3" t="s">
        <v>232</v>
      </c>
      <c r="F48" s="3" t="s">
        <v>106</v>
      </c>
      <c r="G48" s="92" t="s">
        <v>110</v>
      </c>
      <c r="H48" s="51">
        <v>170.5</v>
      </c>
      <c r="I48" s="54" t="s">
        <v>233</v>
      </c>
      <c r="J48" s="1">
        <v>12716.61</v>
      </c>
      <c r="K48" s="1">
        <f t="shared" si="50"/>
        <v>152599.32</v>
      </c>
      <c r="L48" s="24">
        <f t="shared" si="73"/>
        <v>74.584222873900302</v>
      </c>
      <c r="M48" s="19">
        <v>385.86</v>
      </c>
      <c r="N48" s="2">
        <v>4979810.38</v>
      </c>
      <c r="O48" s="2">
        <f t="shared" si="52"/>
        <v>59757724.560000002</v>
      </c>
      <c r="P48" s="71">
        <v>0.1643</v>
      </c>
      <c r="Q48" s="1">
        <f>+(K48*P48)/1000</f>
        <v>25.072068276000003</v>
      </c>
      <c r="R48" s="35">
        <v>0</v>
      </c>
      <c r="S48" s="35">
        <f t="shared" si="1"/>
        <v>0</v>
      </c>
      <c r="T48" s="39">
        <v>0</v>
      </c>
      <c r="U48" s="37">
        <f t="shared" si="127"/>
        <v>0</v>
      </c>
      <c r="V48" s="37">
        <f>+U48*12</f>
        <v>0</v>
      </c>
      <c r="W48" s="38">
        <v>0</v>
      </c>
      <c r="X48" s="35">
        <f>+R48*W48/3600</f>
        <v>0</v>
      </c>
      <c r="Y48" s="35">
        <f t="shared" si="4"/>
        <v>0</v>
      </c>
      <c r="Z48" s="37">
        <f t="shared" si="120"/>
        <v>0</v>
      </c>
      <c r="AA48" s="61">
        <v>2.1907999999999999</v>
      </c>
      <c r="AB48" s="35">
        <f t="shared" si="54"/>
        <v>0</v>
      </c>
      <c r="AC48" s="27">
        <v>0</v>
      </c>
      <c r="AD48" s="27">
        <f t="shared" si="6"/>
        <v>0</v>
      </c>
      <c r="AE48" s="30">
        <v>0</v>
      </c>
      <c r="AF48" s="31">
        <f t="shared" si="128"/>
        <v>0</v>
      </c>
      <c r="AG48" s="31">
        <f t="shared" si="8"/>
        <v>0</v>
      </c>
      <c r="AH48" s="32">
        <v>0</v>
      </c>
      <c r="AI48" s="27">
        <f t="shared" si="55"/>
        <v>0</v>
      </c>
      <c r="AJ48" s="27">
        <f t="shared" si="122"/>
        <v>0</v>
      </c>
      <c r="AK48" s="31">
        <f t="shared" si="121"/>
        <v>0</v>
      </c>
      <c r="AL48" s="27">
        <v>2538.8139999999999</v>
      </c>
      <c r="AM48" s="27">
        <f t="shared" si="56"/>
        <v>0</v>
      </c>
      <c r="AN48" s="42">
        <v>0</v>
      </c>
      <c r="AO48" s="43">
        <f t="shared" si="11"/>
        <v>0</v>
      </c>
      <c r="AP48" s="43">
        <v>0</v>
      </c>
      <c r="AQ48" s="44">
        <f t="shared" si="12"/>
        <v>0</v>
      </c>
      <c r="AR48" s="44">
        <f t="shared" si="13"/>
        <v>0</v>
      </c>
      <c r="AS48" s="45">
        <v>0</v>
      </c>
      <c r="AT48" s="42">
        <f t="shared" si="14"/>
        <v>0</v>
      </c>
      <c r="AU48" s="42">
        <f t="shared" si="57"/>
        <v>0</v>
      </c>
      <c r="AV48" s="44">
        <f t="shared" si="58"/>
        <v>0</v>
      </c>
      <c r="AW48" s="46">
        <v>10.178100000000001</v>
      </c>
      <c r="AX48" s="47">
        <f t="shared" si="59"/>
        <v>0</v>
      </c>
      <c r="AY48" s="7">
        <v>0</v>
      </c>
      <c r="AZ48" s="8">
        <f t="shared" si="15"/>
        <v>0</v>
      </c>
      <c r="BA48" s="8">
        <v>0</v>
      </c>
      <c r="BB48" s="9">
        <f t="shared" si="16"/>
        <v>0</v>
      </c>
      <c r="BC48" s="9">
        <f t="shared" si="17"/>
        <v>0</v>
      </c>
      <c r="BD48" s="10">
        <v>0</v>
      </c>
      <c r="BE48" s="7">
        <f t="shared" si="74"/>
        <v>0</v>
      </c>
      <c r="BF48" s="7">
        <f t="shared" si="18"/>
        <v>0</v>
      </c>
      <c r="BG48" s="9">
        <f t="shared" si="19"/>
        <v>0</v>
      </c>
      <c r="BH48" s="11">
        <v>0</v>
      </c>
      <c r="BI48" s="11">
        <f t="shared" si="20"/>
        <v>0</v>
      </c>
      <c r="BJ48" s="14">
        <v>0</v>
      </c>
      <c r="BK48" s="14">
        <f t="shared" si="21"/>
        <v>0</v>
      </c>
      <c r="BL48" s="15">
        <v>0</v>
      </c>
      <c r="BM48" s="16">
        <f t="shared" si="22"/>
        <v>0</v>
      </c>
      <c r="BN48" s="16">
        <f t="shared" si="23"/>
        <v>0</v>
      </c>
      <c r="BO48" s="17">
        <v>0</v>
      </c>
      <c r="BP48" s="14">
        <f t="shared" si="24"/>
        <v>0</v>
      </c>
      <c r="BQ48" s="14">
        <f t="shared" si="48"/>
        <v>0</v>
      </c>
      <c r="BR48" s="16">
        <f t="shared" si="61"/>
        <v>0</v>
      </c>
      <c r="BS48" s="18">
        <v>3.0512000000000001</v>
      </c>
      <c r="BT48" s="18">
        <f t="shared" si="76"/>
        <v>0</v>
      </c>
      <c r="BU48" s="57">
        <f t="shared" si="62"/>
        <v>12716.61</v>
      </c>
      <c r="BV48" s="57">
        <f t="shared" si="63"/>
        <v>152599.32</v>
      </c>
      <c r="BW48" s="58">
        <f t="shared" si="64"/>
        <v>4979810.38</v>
      </c>
      <c r="BX48" s="58">
        <f t="shared" si="65"/>
        <v>59757724.560000002</v>
      </c>
      <c r="BY48" s="57">
        <f t="shared" si="66"/>
        <v>25.072068276000003</v>
      </c>
      <c r="BZ48" s="68">
        <v>0.02</v>
      </c>
      <c r="CA48" s="68" t="s">
        <v>106</v>
      </c>
      <c r="CB48" s="68" t="s">
        <v>106</v>
      </c>
      <c r="CC48" s="68" t="s">
        <v>106</v>
      </c>
      <c r="CD48" s="68" t="s">
        <v>106</v>
      </c>
      <c r="CE48" s="78" t="s">
        <v>106</v>
      </c>
      <c r="CF48" s="73">
        <f t="shared" si="72"/>
        <v>0.02</v>
      </c>
      <c r="CG48" s="74">
        <f t="shared" si="123"/>
        <v>3051.9864000000002</v>
      </c>
      <c r="CH48" s="75">
        <f t="shared" si="68"/>
        <v>1195154.4912</v>
      </c>
      <c r="CI48" s="74">
        <f t="shared" si="124"/>
        <v>0.50144136552000007</v>
      </c>
    </row>
    <row r="49" spans="1:87" ht="21" customHeight="1">
      <c r="A49" s="3">
        <v>1</v>
      </c>
      <c r="B49" s="3">
        <v>2018</v>
      </c>
      <c r="C49" s="3" t="s">
        <v>138</v>
      </c>
      <c r="D49" s="3" t="s">
        <v>234</v>
      </c>
      <c r="E49" s="3" t="s">
        <v>232</v>
      </c>
      <c r="F49" s="23" t="s">
        <v>106</v>
      </c>
      <c r="G49" s="92" t="s">
        <v>110</v>
      </c>
      <c r="H49" s="53">
        <v>1.54</v>
      </c>
      <c r="I49" s="54" t="s">
        <v>235</v>
      </c>
      <c r="J49" s="1">
        <v>35506.699999999997</v>
      </c>
      <c r="K49" s="1">
        <f t="shared" si="50"/>
        <v>426080.39999999997</v>
      </c>
      <c r="L49" s="24">
        <f t="shared" si="73"/>
        <v>23056.2987012987</v>
      </c>
      <c r="M49" s="19">
        <v>368.6</v>
      </c>
      <c r="N49" s="2">
        <f>J49*M49</f>
        <v>13087769.619999999</v>
      </c>
      <c r="O49" s="2">
        <f>+N49*12</f>
        <v>157053235.44</v>
      </c>
      <c r="P49" s="71">
        <v>0.16400000000000001</v>
      </c>
      <c r="Q49" s="1">
        <f t="shared" si="71"/>
        <v>69.87718559999999</v>
      </c>
      <c r="R49" s="35">
        <v>0</v>
      </c>
      <c r="S49" s="35">
        <f t="shared" si="1"/>
        <v>0</v>
      </c>
      <c r="T49" s="39">
        <v>0</v>
      </c>
      <c r="U49" s="37">
        <f t="shared" si="127"/>
        <v>0</v>
      </c>
      <c r="V49" s="37">
        <f t="shared" si="118"/>
        <v>0</v>
      </c>
      <c r="W49" s="38">
        <v>0</v>
      </c>
      <c r="X49" s="35">
        <f>+R49*W49/3600</f>
        <v>0</v>
      </c>
      <c r="Y49" s="35">
        <f t="shared" si="4"/>
        <v>0</v>
      </c>
      <c r="Z49" s="37">
        <f t="shared" si="120"/>
        <v>0</v>
      </c>
      <c r="AA49" s="61">
        <v>2.1907999999999999</v>
      </c>
      <c r="AB49" s="35">
        <f t="shared" si="54"/>
        <v>0</v>
      </c>
      <c r="AC49" s="27">
        <v>0</v>
      </c>
      <c r="AD49" s="27">
        <f t="shared" si="6"/>
        <v>0</v>
      </c>
      <c r="AE49" s="30">
        <v>0</v>
      </c>
      <c r="AF49" s="31">
        <f t="shared" si="128"/>
        <v>0</v>
      </c>
      <c r="AG49" s="31">
        <f t="shared" si="8"/>
        <v>0</v>
      </c>
      <c r="AH49" s="32">
        <v>0</v>
      </c>
      <c r="AI49" s="27">
        <f t="shared" si="55"/>
        <v>0</v>
      </c>
      <c r="AJ49" s="27">
        <f t="shared" si="122"/>
        <v>0</v>
      </c>
      <c r="AK49" s="31">
        <f t="shared" si="121"/>
        <v>0</v>
      </c>
      <c r="AL49" s="27">
        <v>2538.8139999999999</v>
      </c>
      <c r="AM49" s="27">
        <f t="shared" si="56"/>
        <v>0</v>
      </c>
      <c r="AN49" s="42">
        <v>2480.5</v>
      </c>
      <c r="AO49" s="43">
        <f t="shared" si="11"/>
        <v>29766</v>
      </c>
      <c r="AP49" s="43">
        <v>4000</v>
      </c>
      <c r="AQ49" s="44">
        <f t="shared" si="12"/>
        <v>9922000</v>
      </c>
      <c r="AR49" s="44">
        <f t="shared" si="13"/>
        <v>119064000</v>
      </c>
      <c r="AS49" s="45">
        <v>137</v>
      </c>
      <c r="AT49" s="42">
        <f>AN49*AS49</f>
        <v>339828.5</v>
      </c>
      <c r="AU49" s="42">
        <f t="shared" si="57"/>
        <v>4077942</v>
      </c>
      <c r="AV49" s="44">
        <f t="shared" si="58"/>
        <v>29.197080291970803</v>
      </c>
      <c r="AW49" s="46">
        <v>10.178100000000001</v>
      </c>
      <c r="AX49" s="47">
        <f t="shared" si="59"/>
        <v>302.96132460000001</v>
      </c>
      <c r="AY49" s="7">
        <v>0</v>
      </c>
      <c r="AZ49" s="8">
        <f t="shared" si="15"/>
        <v>0</v>
      </c>
      <c r="BA49" s="8">
        <v>0</v>
      </c>
      <c r="BB49" s="9">
        <f t="shared" si="16"/>
        <v>0</v>
      </c>
      <c r="BC49" s="9">
        <f t="shared" si="17"/>
        <v>0</v>
      </c>
      <c r="BD49" s="10">
        <v>0</v>
      </c>
      <c r="BE49" s="7">
        <f t="shared" si="74"/>
        <v>0</v>
      </c>
      <c r="BF49" s="7">
        <f t="shared" si="18"/>
        <v>0</v>
      </c>
      <c r="BG49" s="9">
        <f t="shared" si="19"/>
        <v>0</v>
      </c>
      <c r="BH49" s="11">
        <v>0</v>
      </c>
      <c r="BI49" s="11">
        <f t="shared" si="20"/>
        <v>0</v>
      </c>
      <c r="BJ49" s="14">
        <v>0</v>
      </c>
      <c r="BK49" s="14">
        <f t="shared" si="21"/>
        <v>0</v>
      </c>
      <c r="BL49" s="15">
        <v>0</v>
      </c>
      <c r="BM49" s="16">
        <f t="shared" si="22"/>
        <v>0</v>
      </c>
      <c r="BN49" s="16">
        <f t="shared" si="23"/>
        <v>0</v>
      </c>
      <c r="BO49" s="17">
        <v>0</v>
      </c>
      <c r="BP49" s="14">
        <f t="shared" si="24"/>
        <v>0</v>
      </c>
      <c r="BQ49" s="14">
        <f t="shared" si="48"/>
        <v>0</v>
      </c>
      <c r="BR49" s="16">
        <f t="shared" si="61"/>
        <v>0</v>
      </c>
      <c r="BS49" s="18">
        <v>3.0512000000000001</v>
      </c>
      <c r="BT49" s="18">
        <f t="shared" si="76"/>
        <v>0</v>
      </c>
      <c r="BU49" s="57">
        <f t="shared" si="62"/>
        <v>375335.2</v>
      </c>
      <c r="BV49" s="57">
        <f t="shared" si="63"/>
        <v>4504022.4000000004</v>
      </c>
      <c r="BW49" s="58">
        <f t="shared" si="64"/>
        <v>23009769.619999997</v>
      </c>
      <c r="BX49" s="58">
        <f t="shared" si="65"/>
        <v>276117235.43999994</v>
      </c>
      <c r="BY49" s="57">
        <f t="shared" si="66"/>
        <v>372.83851019999997</v>
      </c>
      <c r="BZ49" s="68">
        <v>2.2499999999999999E-2</v>
      </c>
      <c r="CA49" s="69">
        <v>3.4200000000000001E-2</v>
      </c>
      <c r="CB49" s="68" t="s">
        <v>106</v>
      </c>
      <c r="CC49" s="68" t="s">
        <v>106</v>
      </c>
      <c r="CD49" s="68" t="s">
        <v>106</v>
      </c>
      <c r="CE49" s="77" t="s">
        <v>106</v>
      </c>
      <c r="CF49" s="73">
        <f t="shared" si="72"/>
        <v>2.1284994053315538E-3</v>
      </c>
      <c r="CG49" s="74">
        <f t="shared" si="123"/>
        <v>9586.8089999999993</v>
      </c>
      <c r="CH49" s="75">
        <f t="shared" si="68"/>
        <v>3533697.7974</v>
      </c>
      <c r="CI49" s="74">
        <f t="shared" si="124"/>
        <v>1.5722366759999997</v>
      </c>
    </row>
    <row r="50" spans="1:87" ht="49.9" customHeight="1">
      <c r="A50" s="3">
        <v>1</v>
      </c>
      <c r="B50" s="3">
        <v>2018</v>
      </c>
      <c r="C50" s="3" t="s">
        <v>138</v>
      </c>
      <c r="D50" s="3" t="s">
        <v>236</v>
      </c>
      <c r="E50" s="3" t="s">
        <v>103</v>
      </c>
      <c r="F50" s="3" t="s">
        <v>106</v>
      </c>
      <c r="G50" s="92" t="s">
        <v>110</v>
      </c>
      <c r="H50" s="51">
        <v>610</v>
      </c>
      <c r="I50" s="54" t="s">
        <v>237</v>
      </c>
      <c r="J50" s="1">
        <v>3041.81</v>
      </c>
      <c r="K50" s="1">
        <f t="shared" si="50"/>
        <v>36501.72</v>
      </c>
      <c r="L50" s="24">
        <f t="shared" si="73"/>
        <v>4.9865737704918036</v>
      </c>
      <c r="M50" s="48">
        <v>450</v>
      </c>
      <c r="N50" s="66">
        <f t="shared" si="51"/>
        <v>1368814.5</v>
      </c>
      <c r="O50" s="66">
        <f t="shared" si="52"/>
        <v>16425774</v>
      </c>
      <c r="P50" s="52">
        <v>0.16400000000000001</v>
      </c>
      <c r="Q50" s="49">
        <f t="shared" si="71"/>
        <v>5.9862820800000005</v>
      </c>
      <c r="R50" s="35">
        <v>1750</v>
      </c>
      <c r="S50" s="35">
        <f>+R50*12</f>
        <v>21000</v>
      </c>
      <c r="T50" s="48">
        <v>1700</v>
      </c>
      <c r="U50" s="66">
        <f t="shared" si="127"/>
        <v>2975000</v>
      </c>
      <c r="V50" s="66">
        <f t="shared" si="118"/>
        <v>35700000</v>
      </c>
      <c r="W50" s="67">
        <v>42000</v>
      </c>
      <c r="X50" s="49">
        <f>+R50*W50/3600</f>
        <v>20416.666666666668</v>
      </c>
      <c r="Y50" s="49">
        <f t="shared" si="4"/>
        <v>245000</v>
      </c>
      <c r="Z50" s="66">
        <f t="shared" si="120"/>
        <v>145.71428571428572</v>
      </c>
      <c r="AA50" s="61">
        <v>2.1907999999999999</v>
      </c>
      <c r="AB50" s="35">
        <f t="shared" si="54"/>
        <v>46.006799999999998</v>
      </c>
      <c r="AC50" s="27">
        <v>0</v>
      </c>
      <c r="AD50" s="27">
        <f t="shared" si="6"/>
        <v>0</v>
      </c>
      <c r="AE50" s="30">
        <v>0</v>
      </c>
      <c r="AF50" s="31">
        <f t="shared" si="128"/>
        <v>0</v>
      </c>
      <c r="AG50" s="31">
        <f t="shared" si="8"/>
        <v>0</v>
      </c>
      <c r="AH50" s="32">
        <v>0</v>
      </c>
      <c r="AI50" s="27">
        <f t="shared" si="55"/>
        <v>0</v>
      </c>
      <c r="AJ50" s="27">
        <f t="shared" si="122"/>
        <v>0</v>
      </c>
      <c r="AK50" s="31">
        <f t="shared" si="121"/>
        <v>0</v>
      </c>
      <c r="AL50" s="27">
        <v>2538.8139999999999</v>
      </c>
      <c r="AM50" s="27">
        <f t="shared" si="56"/>
        <v>0</v>
      </c>
      <c r="AN50" s="42">
        <v>0</v>
      </c>
      <c r="AO50" s="43">
        <f t="shared" si="11"/>
        <v>0</v>
      </c>
      <c r="AP50" s="43">
        <v>0</v>
      </c>
      <c r="AQ50" s="44">
        <f t="shared" si="12"/>
        <v>0</v>
      </c>
      <c r="AR50" s="44">
        <f t="shared" si="13"/>
        <v>0</v>
      </c>
      <c r="AS50" s="45">
        <v>0</v>
      </c>
      <c r="AT50" s="42">
        <f t="shared" si="14"/>
        <v>0</v>
      </c>
      <c r="AU50" s="42">
        <f t="shared" si="57"/>
        <v>0</v>
      </c>
      <c r="AV50" s="44">
        <f t="shared" si="58"/>
        <v>0</v>
      </c>
      <c r="AW50" s="46">
        <v>10.178100000000001</v>
      </c>
      <c r="AX50" s="47">
        <f t="shared" si="59"/>
        <v>0</v>
      </c>
      <c r="AY50" s="7">
        <v>0</v>
      </c>
      <c r="AZ50" s="8">
        <f t="shared" si="15"/>
        <v>0</v>
      </c>
      <c r="BA50" s="8">
        <v>0</v>
      </c>
      <c r="BB50" s="9">
        <f t="shared" si="16"/>
        <v>0</v>
      </c>
      <c r="BC50" s="9">
        <f t="shared" si="17"/>
        <v>0</v>
      </c>
      <c r="BD50" s="10">
        <v>0</v>
      </c>
      <c r="BE50" s="7">
        <f t="shared" si="74"/>
        <v>0</v>
      </c>
      <c r="BF50" s="7">
        <f t="shared" si="18"/>
        <v>0</v>
      </c>
      <c r="BG50" s="9">
        <f t="shared" si="19"/>
        <v>0</v>
      </c>
      <c r="BH50" s="11">
        <v>0</v>
      </c>
      <c r="BI50" s="11">
        <f t="shared" si="20"/>
        <v>0</v>
      </c>
      <c r="BJ50" s="14">
        <v>0</v>
      </c>
      <c r="BK50" s="14">
        <f t="shared" si="21"/>
        <v>0</v>
      </c>
      <c r="BL50" s="15">
        <v>0</v>
      </c>
      <c r="BM50" s="16">
        <f t="shared" si="22"/>
        <v>0</v>
      </c>
      <c r="BN50" s="16">
        <f t="shared" si="23"/>
        <v>0</v>
      </c>
      <c r="BO50" s="17">
        <v>0</v>
      </c>
      <c r="BP50" s="14">
        <f t="shared" si="24"/>
        <v>0</v>
      </c>
      <c r="BQ50" s="14">
        <f t="shared" si="48"/>
        <v>0</v>
      </c>
      <c r="BR50" s="16">
        <f t="shared" si="61"/>
        <v>0</v>
      </c>
      <c r="BS50" s="18">
        <v>3.0512000000000001</v>
      </c>
      <c r="BT50" s="18">
        <f t="shared" si="76"/>
        <v>0</v>
      </c>
      <c r="BU50" s="57">
        <f t="shared" si="62"/>
        <v>23458.476666666669</v>
      </c>
      <c r="BV50" s="57">
        <f t="shared" si="63"/>
        <v>281501.72000000003</v>
      </c>
      <c r="BW50" s="58">
        <f t="shared" si="64"/>
        <v>4343814.5</v>
      </c>
      <c r="BX50" s="58">
        <f t="shared" si="65"/>
        <v>52125774</v>
      </c>
      <c r="BY50" s="57">
        <f t="shared" si="66"/>
        <v>51.993082080000001</v>
      </c>
      <c r="BZ50" s="69"/>
      <c r="CA50" s="69"/>
      <c r="CB50" s="68" t="s">
        <v>106</v>
      </c>
      <c r="CC50" s="68" t="s">
        <v>106</v>
      </c>
      <c r="CD50" s="68" t="s">
        <v>106</v>
      </c>
      <c r="CE50" s="77" t="s">
        <v>106</v>
      </c>
      <c r="CF50" s="73">
        <f t="shared" si="72"/>
        <v>0</v>
      </c>
      <c r="CG50" s="74">
        <f t="shared" si="123"/>
        <v>0</v>
      </c>
      <c r="CH50" s="75">
        <f t="shared" si="68"/>
        <v>0</v>
      </c>
      <c r="CI50" s="74">
        <f t="shared" si="124"/>
        <v>0</v>
      </c>
    </row>
    <row r="51" spans="1:87" ht="21" customHeight="1">
      <c r="A51" s="3">
        <v>1</v>
      </c>
      <c r="B51" s="3">
        <v>2018</v>
      </c>
      <c r="C51" s="3" t="s">
        <v>138</v>
      </c>
      <c r="D51" s="3" t="s">
        <v>238</v>
      </c>
      <c r="E51" s="23" t="s">
        <v>148</v>
      </c>
      <c r="F51" s="23" t="s">
        <v>239</v>
      </c>
      <c r="G51" s="92" t="s">
        <v>110</v>
      </c>
      <c r="H51" s="51">
        <v>600</v>
      </c>
      <c r="I51" s="54" t="s">
        <v>240</v>
      </c>
      <c r="J51" s="1">
        <v>109222</v>
      </c>
      <c r="K51" s="1">
        <f t="shared" si="50"/>
        <v>1310664</v>
      </c>
      <c r="L51" s="24">
        <f t="shared" si="73"/>
        <v>182.03666666666666</v>
      </c>
      <c r="M51" s="48">
        <v>411.45</v>
      </c>
      <c r="N51" s="66">
        <f t="shared" si="51"/>
        <v>44939391.899999999</v>
      </c>
      <c r="O51" s="66">
        <f t="shared" si="52"/>
        <v>539272702.79999995</v>
      </c>
      <c r="P51" s="52">
        <v>0.16400000000000001</v>
      </c>
      <c r="Q51" s="49">
        <f t="shared" si="71"/>
        <v>214.94889600000002</v>
      </c>
      <c r="R51" s="35">
        <v>26933</v>
      </c>
      <c r="S51" s="35">
        <f>+R51*12</f>
        <v>323196</v>
      </c>
      <c r="T51" s="48">
        <v>800</v>
      </c>
      <c r="U51" s="66">
        <f>+T51*R51</f>
        <v>21546400</v>
      </c>
      <c r="V51" s="66">
        <f>+U51*12</f>
        <v>258556800</v>
      </c>
      <c r="W51" s="38">
        <f>(X51*3600)/R51</f>
        <v>42611.205584227529</v>
      </c>
      <c r="X51" s="35">
        <v>318791</v>
      </c>
      <c r="Y51" s="35">
        <f t="shared" si="4"/>
        <v>3825492</v>
      </c>
      <c r="Z51" s="66">
        <f t="shared" si="120"/>
        <v>67.587855366054882</v>
      </c>
      <c r="AA51" s="61">
        <v>2.1907999999999999</v>
      </c>
      <c r="AB51" s="35">
        <f t="shared" si="54"/>
        <v>708.05779680000001</v>
      </c>
      <c r="AC51" s="27">
        <v>0</v>
      </c>
      <c r="AD51" s="27">
        <f t="shared" si="6"/>
        <v>0</v>
      </c>
      <c r="AE51" s="30">
        <v>0</v>
      </c>
      <c r="AF51" s="31">
        <f t="shared" si="128"/>
        <v>0</v>
      </c>
      <c r="AG51" s="31">
        <f t="shared" si="8"/>
        <v>0</v>
      </c>
      <c r="AH51" s="32">
        <v>0</v>
      </c>
      <c r="AI51" s="27">
        <f t="shared" si="55"/>
        <v>0</v>
      </c>
      <c r="AJ51" s="27">
        <f t="shared" si="122"/>
        <v>0</v>
      </c>
      <c r="AK51" s="31">
        <f t="shared" si="121"/>
        <v>0</v>
      </c>
      <c r="AL51" s="27">
        <v>2538.8139999999999</v>
      </c>
      <c r="AM51" s="27">
        <f t="shared" si="56"/>
        <v>0</v>
      </c>
      <c r="AN51" s="42">
        <v>0</v>
      </c>
      <c r="AO51" s="43">
        <f t="shared" si="11"/>
        <v>0</v>
      </c>
      <c r="AP51" s="43">
        <v>0</v>
      </c>
      <c r="AQ51" s="44">
        <f t="shared" si="12"/>
        <v>0</v>
      </c>
      <c r="AR51" s="44">
        <f t="shared" si="13"/>
        <v>0</v>
      </c>
      <c r="AS51" s="45">
        <v>0</v>
      </c>
      <c r="AT51" s="42">
        <f t="shared" si="14"/>
        <v>0</v>
      </c>
      <c r="AU51" s="42">
        <f t="shared" si="57"/>
        <v>0</v>
      </c>
      <c r="AV51" s="44">
        <f t="shared" si="58"/>
        <v>0</v>
      </c>
      <c r="AW51" s="46">
        <v>10.178100000000001</v>
      </c>
      <c r="AX51" s="47">
        <f t="shared" si="59"/>
        <v>0</v>
      </c>
      <c r="AY51" s="7">
        <v>0</v>
      </c>
      <c r="AZ51" s="8">
        <f t="shared" si="15"/>
        <v>0</v>
      </c>
      <c r="BA51" s="8">
        <v>0</v>
      </c>
      <c r="BB51" s="9">
        <f t="shared" si="16"/>
        <v>0</v>
      </c>
      <c r="BC51" s="9">
        <f t="shared" si="17"/>
        <v>0</v>
      </c>
      <c r="BD51" s="10">
        <v>0</v>
      </c>
      <c r="BE51" s="7">
        <f t="shared" si="74"/>
        <v>0</v>
      </c>
      <c r="BF51" s="7">
        <f t="shared" si="18"/>
        <v>0</v>
      </c>
      <c r="BG51" s="9">
        <f t="shared" si="19"/>
        <v>0</v>
      </c>
      <c r="BH51" s="11">
        <v>0</v>
      </c>
      <c r="BI51" s="11">
        <f t="shared" si="20"/>
        <v>0</v>
      </c>
      <c r="BJ51" s="14">
        <v>0</v>
      </c>
      <c r="BK51" s="14">
        <f t="shared" si="21"/>
        <v>0</v>
      </c>
      <c r="BL51" s="15">
        <v>0</v>
      </c>
      <c r="BM51" s="16">
        <f t="shared" si="22"/>
        <v>0</v>
      </c>
      <c r="BN51" s="16">
        <f t="shared" si="23"/>
        <v>0</v>
      </c>
      <c r="BO51" s="17">
        <v>0</v>
      </c>
      <c r="BP51" s="14">
        <f t="shared" si="24"/>
        <v>0</v>
      </c>
      <c r="BQ51" s="14">
        <f t="shared" si="48"/>
        <v>0</v>
      </c>
      <c r="BR51" s="16">
        <f t="shared" si="61"/>
        <v>0</v>
      </c>
      <c r="BS51" s="18">
        <v>3.0512000000000001</v>
      </c>
      <c r="BT51" s="18">
        <f t="shared" si="76"/>
        <v>0</v>
      </c>
      <c r="BU51" s="57">
        <f t="shared" si="62"/>
        <v>428013</v>
      </c>
      <c r="BV51" s="57">
        <f t="shared" si="63"/>
        <v>5136156</v>
      </c>
      <c r="BW51" s="58">
        <f t="shared" si="64"/>
        <v>66485791.899999999</v>
      </c>
      <c r="BX51" s="58">
        <f t="shared" si="65"/>
        <v>797829502.79999995</v>
      </c>
      <c r="BY51" s="57">
        <f t="shared" si="66"/>
        <v>923.0066928</v>
      </c>
      <c r="BZ51" s="68">
        <v>0.14349999999999999</v>
      </c>
      <c r="CA51" s="68">
        <v>1.83E-2</v>
      </c>
      <c r="CB51" s="68" t="s">
        <v>106</v>
      </c>
      <c r="CC51" s="68" t="s">
        <v>106</v>
      </c>
      <c r="CD51" s="68" t="s">
        <v>106</v>
      </c>
      <c r="CE51" s="77" t="s">
        <v>106</v>
      </c>
      <c r="CF51" s="73">
        <f t="shared" si="72"/>
        <v>5.024901650183522E-2</v>
      </c>
      <c r="CG51" s="74">
        <f t="shared" si="123"/>
        <v>258086.78759999998</v>
      </c>
      <c r="CH51" s="75">
        <f t="shared" si="68"/>
        <v>82117222.291799977</v>
      </c>
      <c r="CI51" s="74">
        <f t="shared" si="124"/>
        <v>43.802624257440002</v>
      </c>
    </row>
    <row r="52" spans="1:87" ht="21" customHeight="1">
      <c r="A52" s="3">
        <v>1</v>
      </c>
      <c r="B52" s="3">
        <v>2018</v>
      </c>
      <c r="C52" s="3" t="s">
        <v>138</v>
      </c>
      <c r="D52" s="3" t="s">
        <v>241</v>
      </c>
      <c r="E52" s="23" t="s">
        <v>127</v>
      </c>
      <c r="F52" s="23" t="s">
        <v>239</v>
      </c>
      <c r="G52" s="92" t="s">
        <v>110</v>
      </c>
      <c r="H52" s="51">
        <v>383000</v>
      </c>
      <c r="I52" s="54" t="s">
        <v>242</v>
      </c>
      <c r="J52" s="1">
        <v>107978</v>
      </c>
      <c r="K52" s="1">
        <f t="shared" si="50"/>
        <v>1295736</v>
      </c>
      <c r="L52" s="24">
        <f t="shared" si="73"/>
        <v>0.28192689295039164</v>
      </c>
      <c r="M52" s="48">
        <v>350</v>
      </c>
      <c r="N52" s="66">
        <f t="shared" si="51"/>
        <v>37792300</v>
      </c>
      <c r="O52" s="66">
        <f t="shared" si="52"/>
        <v>453507600</v>
      </c>
      <c r="P52" s="52">
        <v>0.16400000000000001</v>
      </c>
      <c r="Q52" s="49">
        <f t="shared" si="71"/>
        <v>212.50070399999998</v>
      </c>
      <c r="R52" s="35">
        <v>28075</v>
      </c>
      <c r="S52" s="35">
        <f>+R52*12</f>
        <v>336900</v>
      </c>
      <c r="T52" s="48">
        <v>800</v>
      </c>
      <c r="U52" s="66">
        <f t="shared" si="127"/>
        <v>22460000</v>
      </c>
      <c r="V52" s="66">
        <f t="shared" si="118"/>
        <v>269520000</v>
      </c>
      <c r="W52" s="38">
        <f>(X52*3600)/R52</f>
        <v>42624.384683882461</v>
      </c>
      <c r="X52" s="35">
        <v>332411</v>
      </c>
      <c r="Y52" s="35">
        <f t="shared" si="4"/>
        <v>3988932</v>
      </c>
      <c r="Z52" s="66">
        <f t="shared" si="120"/>
        <v>67.566957772155561</v>
      </c>
      <c r="AA52" s="61">
        <v>2.1907999999999999</v>
      </c>
      <c r="AB52" s="35">
        <f t="shared" si="54"/>
        <v>738.08051999999986</v>
      </c>
      <c r="AC52" s="27">
        <v>0</v>
      </c>
      <c r="AD52" s="27">
        <f t="shared" si="6"/>
        <v>0</v>
      </c>
      <c r="AE52" s="30">
        <v>0</v>
      </c>
      <c r="AF52" s="31">
        <f t="shared" si="128"/>
        <v>0</v>
      </c>
      <c r="AG52" s="31">
        <f t="shared" si="8"/>
        <v>0</v>
      </c>
      <c r="AH52" s="32">
        <v>0</v>
      </c>
      <c r="AI52" s="27">
        <f t="shared" si="55"/>
        <v>0</v>
      </c>
      <c r="AJ52" s="27">
        <f t="shared" si="122"/>
        <v>0</v>
      </c>
      <c r="AK52" s="31">
        <f t="shared" si="121"/>
        <v>0</v>
      </c>
      <c r="AL52" s="27">
        <v>2538.8139999999999</v>
      </c>
      <c r="AM52" s="27">
        <f t="shared" si="56"/>
        <v>0</v>
      </c>
      <c r="AN52" s="42">
        <v>0</v>
      </c>
      <c r="AO52" s="43">
        <f t="shared" si="11"/>
        <v>0</v>
      </c>
      <c r="AP52" s="43">
        <v>0</v>
      </c>
      <c r="AQ52" s="44">
        <f t="shared" si="12"/>
        <v>0</v>
      </c>
      <c r="AR52" s="44">
        <f t="shared" si="13"/>
        <v>0</v>
      </c>
      <c r="AS52" s="45">
        <v>0</v>
      </c>
      <c r="AT52" s="42">
        <f t="shared" si="14"/>
        <v>0</v>
      </c>
      <c r="AU52" s="42">
        <f t="shared" si="57"/>
        <v>0</v>
      </c>
      <c r="AV52" s="44">
        <f t="shared" si="58"/>
        <v>0</v>
      </c>
      <c r="AW52" s="46">
        <v>10.178100000000001</v>
      </c>
      <c r="AX52" s="47">
        <f t="shared" si="59"/>
        <v>0</v>
      </c>
      <c r="AY52" s="7">
        <v>0</v>
      </c>
      <c r="AZ52" s="8">
        <f t="shared" si="15"/>
        <v>0</v>
      </c>
      <c r="BA52" s="8">
        <v>0</v>
      </c>
      <c r="BB52" s="9">
        <f t="shared" si="16"/>
        <v>0</v>
      </c>
      <c r="BC52" s="9">
        <f t="shared" si="17"/>
        <v>0</v>
      </c>
      <c r="BD52" s="10">
        <v>0</v>
      </c>
      <c r="BE52" s="7">
        <f t="shared" si="74"/>
        <v>0</v>
      </c>
      <c r="BF52" s="7">
        <f t="shared" si="18"/>
        <v>0</v>
      </c>
      <c r="BG52" s="9">
        <f t="shared" si="19"/>
        <v>0</v>
      </c>
      <c r="BH52" s="11">
        <v>0</v>
      </c>
      <c r="BI52" s="11">
        <f t="shared" si="20"/>
        <v>0</v>
      </c>
      <c r="BJ52" s="14">
        <v>0</v>
      </c>
      <c r="BK52" s="14">
        <f t="shared" si="21"/>
        <v>0</v>
      </c>
      <c r="BL52" s="15">
        <v>0</v>
      </c>
      <c r="BM52" s="16">
        <f t="shared" si="22"/>
        <v>0</v>
      </c>
      <c r="BN52" s="16">
        <f t="shared" si="23"/>
        <v>0</v>
      </c>
      <c r="BO52" s="17">
        <v>0</v>
      </c>
      <c r="BP52" s="14">
        <f t="shared" si="24"/>
        <v>0</v>
      </c>
      <c r="BQ52" s="14">
        <f t="shared" si="48"/>
        <v>0</v>
      </c>
      <c r="BR52" s="16">
        <f t="shared" si="61"/>
        <v>0</v>
      </c>
      <c r="BS52" s="18">
        <v>3.0512000000000001</v>
      </c>
      <c r="BT52" s="18">
        <f t="shared" si="76"/>
        <v>0</v>
      </c>
      <c r="BU52" s="57">
        <f t="shared" si="62"/>
        <v>440389</v>
      </c>
      <c r="BV52" s="57">
        <f t="shared" si="63"/>
        <v>5284668</v>
      </c>
      <c r="BW52" s="58">
        <f t="shared" si="64"/>
        <v>60252300</v>
      </c>
      <c r="BX52" s="58">
        <f t="shared" si="65"/>
        <v>723027600</v>
      </c>
      <c r="BY52" s="57">
        <f t="shared" si="66"/>
        <v>950.58122399999979</v>
      </c>
      <c r="BZ52" s="68">
        <v>8.5500000000000007E-2</v>
      </c>
      <c r="CA52" s="68">
        <v>5.3999999999999999E-2</v>
      </c>
      <c r="CB52" s="68" t="s">
        <v>106</v>
      </c>
      <c r="CC52" s="68" t="s">
        <v>106</v>
      </c>
      <c r="CD52" s="68" t="s">
        <v>106</v>
      </c>
      <c r="CE52" s="77" t="s">
        <v>106</v>
      </c>
      <c r="CF52" s="73">
        <f t="shared" si="72"/>
        <v>6.1723414980846492E-2</v>
      </c>
      <c r="CG52" s="74">
        <f t="shared" si="123"/>
        <v>326187.75600000005</v>
      </c>
      <c r="CH52" s="75">
        <f t="shared" si="68"/>
        <v>53328979.800000004</v>
      </c>
      <c r="CI52" s="74">
        <f t="shared" si="124"/>
        <v>58.025158271999985</v>
      </c>
    </row>
    <row r="53" spans="1:87" ht="21" customHeight="1">
      <c r="A53" s="3">
        <v>1</v>
      </c>
      <c r="B53" s="3">
        <v>2018</v>
      </c>
      <c r="C53" s="3" t="s">
        <v>138</v>
      </c>
      <c r="D53" s="3" t="s">
        <v>243</v>
      </c>
      <c r="E53" s="23" t="s">
        <v>131</v>
      </c>
      <c r="F53" s="273" t="s">
        <v>239</v>
      </c>
      <c r="G53" s="238" t="s">
        <v>110</v>
      </c>
      <c r="H53" s="274">
        <v>43.5</v>
      </c>
      <c r="I53" s="54" t="s">
        <v>244</v>
      </c>
      <c r="J53" s="1">
        <v>3229</v>
      </c>
      <c r="K53" s="1">
        <f t="shared" si="50"/>
        <v>38748</v>
      </c>
      <c r="L53" s="24">
        <f t="shared" si="73"/>
        <v>74.229885057471265</v>
      </c>
      <c r="M53" s="48">
        <v>450</v>
      </c>
      <c r="N53" s="66">
        <f t="shared" si="51"/>
        <v>1453050</v>
      </c>
      <c r="O53" s="66">
        <f t="shared" si="52"/>
        <v>17436600</v>
      </c>
      <c r="P53" s="52">
        <v>0.16400000000000001</v>
      </c>
      <c r="Q53" s="49">
        <f t="shared" si="71"/>
        <v>6.3546720000000008</v>
      </c>
      <c r="R53" s="35">
        <v>921</v>
      </c>
      <c r="S53" s="35">
        <f>+R53*12</f>
        <v>11052</v>
      </c>
      <c r="T53" s="48">
        <v>1700</v>
      </c>
      <c r="U53" s="66">
        <f t="shared" si="127"/>
        <v>1565700</v>
      </c>
      <c r="V53" s="66">
        <f t="shared" si="118"/>
        <v>18788400</v>
      </c>
      <c r="W53" s="38">
        <f>(X53*3600)/R53</f>
        <v>41718.566775244297</v>
      </c>
      <c r="X53" s="35">
        <v>10673</v>
      </c>
      <c r="Y53" s="35">
        <f t="shared" si="4"/>
        <v>128076</v>
      </c>
      <c r="Z53" s="66">
        <f t="shared" si="120"/>
        <v>146.69727349386301</v>
      </c>
      <c r="AA53" s="61">
        <v>2.1907999999999999</v>
      </c>
      <c r="AB53" s="35">
        <f t="shared" si="54"/>
        <v>24.212721599999998</v>
      </c>
      <c r="AC53" s="27">
        <v>0</v>
      </c>
      <c r="AD53" s="27">
        <f t="shared" si="6"/>
        <v>0</v>
      </c>
      <c r="AE53" s="30">
        <v>0</v>
      </c>
      <c r="AF53" s="31">
        <f t="shared" si="128"/>
        <v>0</v>
      </c>
      <c r="AG53" s="31">
        <f t="shared" si="8"/>
        <v>0</v>
      </c>
      <c r="AH53" s="32">
        <v>0</v>
      </c>
      <c r="AI53" s="27">
        <f t="shared" si="55"/>
        <v>0</v>
      </c>
      <c r="AJ53" s="27">
        <f t="shared" si="122"/>
        <v>0</v>
      </c>
      <c r="AK53" s="31">
        <f t="shared" si="121"/>
        <v>0</v>
      </c>
      <c r="AL53" s="27">
        <v>2538.8139999999999</v>
      </c>
      <c r="AM53" s="27">
        <f t="shared" si="56"/>
        <v>0</v>
      </c>
      <c r="AN53" s="42">
        <v>0</v>
      </c>
      <c r="AO53" s="43">
        <f t="shared" si="11"/>
        <v>0</v>
      </c>
      <c r="AP53" s="43">
        <v>0</v>
      </c>
      <c r="AQ53" s="44">
        <f t="shared" si="12"/>
        <v>0</v>
      </c>
      <c r="AR53" s="44">
        <f t="shared" si="13"/>
        <v>0</v>
      </c>
      <c r="AS53" s="45">
        <v>0</v>
      </c>
      <c r="AT53" s="42">
        <f t="shared" si="14"/>
        <v>0</v>
      </c>
      <c r="AU53" s="42">
        <f t="shared" si="57"/>
        <v>0</v>
      </c>
      <c r="AV53" s="44">
        <f t="shared" si="58"/>
        <v>0</v>
      </c>
      <c r="AW53" s="46">
        <v>10.178100000000001</v>
      </c>
      <c r="AX53" s="47">
        <f t="shared" si="59"/>
        <v>0</v>
      </c>
      <c r="AY53" s="7">
        <v>0</v>
      </c>
      <c r="AZ53" s="8">
        <f t="shared" si="15"/>
        <v>0</v>
      </c>
      <c r="BA53" s="8">
        <v>0</v>
      </c>
      <c r="BB53" s="9">
        <f t="shared" si="16"/>
        <v>0</v>
      </c>
      <c r="BC53" s="9">
        <f t="shared" si="17"/>
        <v>0</v>
      </c>
      <c r="BD53" s="10">
        <v>0</v>
      </c>
      <c r="BE53" s="7">
        <f t="shared" si="74"/>
        <v>0</v>
      </c>
      <c r="BF53" s="7">
        <f t="shared" si="18"/>
        <v>0</v>
      </c>
      <c r="BG53" s="9">
        <f t="shared" si="19"/>
        <v>0</v>
      </c>
      <c r="BH53" s="11">
        <v>0</v>
      </c>
      <c r="BI53" s="11">
        <f t="shared" si="20"/>
        <v>0</v>
      </c>
      <c r="BJ53" s="14">
        <v>0</v>
      </c>
      <c r="BK53" s="14">
        <f t="shared" si="21"/>
        <v>0</v>
      </c>
      <c r="BL53" s="15">
        <v>0</v>
      </c>
      <c r="BM53" s="16">
        <f t="shared" si="22"/>
        <v>0</v>
      </c>
      <c r="BN53" s="16">
        <f t="shared" si="23"/>
        <v>0</v>
      </c>
      <c r="BO53" s="17">
        <v>0</v>
      </c>
      <c r="BP53" s="14">
        <f t="shared" si="24"/>
        <v>0</v>
      </c>
      <c r="BQ53" s="14">
        <f t="shared" si="48"/>
        <v>0</v>
      </c>
      <c r="BR53" s="16">
        <f t="shared" si="61"/>
        <v>0</v>
      </c>
      <c r="BS53" s="18">
        <v>3.0512000000000001</v>
      </c>
      <c r="BT53" s="18">
        <f t="shared" si="76"/>
        <v>0</v>
      </c>
      <c r="BU53" s="57">
        <f t="shared" si="62"/>
        <v>13902</v>
      </c>
      <c r="BV53" s="57">
        <f t="shared" si="63"/>
        <v>166824</v>
      </c>
      <c r="BW53" s="58">
        <f t="shared" si="64"/>
        <v>3018750</v>
      </c>
      <c r="BX53" s="58">
        <f t="shared" si="65"/>
        <v>36225000</v>
      </c>
      <c r="BY53" s="57">
        <f t="shared" si="66"/>
        <v>30.567393599999999</v>
      </c>
      <c r="BZ53" s="68">
        <v>0.1</v>
      </c>
      <c r="CA53" s="68">
        <v>0.13439999999999999</v>
      </c>
      <c r="CB53" s="68" t="s">
        <v>106</v>
      </c>
      <c r="CC53" s="68" t="s">
        <v>106</v>
      </c>
      <c r="CD53" s="68" t="s">
        <v>106</v>
      </c>
      <c r="CE53" s="77" t="s">
        <v>106</v>
      </c>
      <c r="CF53" s="73">
        <f t="shared" si="72"/>
        <v>0.1264099554021004</v>
      </c>
      <c r="CG53" s="74">
        <f t="shared" si="123"/>
        <v>21088.214399999997</v>
      </c>
      <c r="CH53" s="75">
        <f t="shared" si="68"/>
        <v>4268820.96</v>
      </c>
      <c r="CI53" s="74">
        <f t="shared" si="124"/>
        <v>3.8896569830400001</v>
      </c>
    </row>
    <row r="54" spans="1:87" ht="15" customHeight="1">
      <c r="BY54" s="81">
        <f>SUBTOTAL(9,BY3:BY53)</f>
        <v>270020.52546719043</v>
      </c>
    </row>
    <row r="55" spans="1:87" ht="15" customHeight="1">
      <c r="A55" s="280" t="s">
        <v>245</v>
      </c>
      <c r="B55" s="280"/>
      <c r="C55" s="280"/>
      <c r="D55" s="280"/>
      <c r="E55" s="20"/>
      <c r="F55" s="20"/>
      <c r="G55" s="20"/>
      <c r="H55" s="20"/>
      <c r="I55" s="20"/>
      <c r="J55" s="21">
        <f>SUM(J3:J53)</f>
        <v>26498964.315811712</v>
      </c>
      <c r="K55" s="21">
        <f>SUM(K3:K53)</f>
        <v>317114799.78974062</v>
      </c>
      <c r="L55" s="21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1">
        <f>SUM(X3:X53)</f>
        <v>41753653.549344435</v>
      </c>
      <c r="Y55" s="21">
        <f>SUM(Y3:Y53)</f>
        <v>497970637.79213333</v>
      </c>
      <c r="Z55" s="20"/>
      <c r="AA55" s="20"/>
      <c r="AB55" s="20"/>
      <c r="AC55" s="20"/>
      <c r="AD55" s="20"/>
      <c r="AE55" s="20"/>
      <c r="AF55" s="20"/>
      <c r="AG55" s="20"/>
      <c r="AH55" s="20"/>
      <c r="AI55" s="21">
        <f>SUM(AI3:AI53)</f>
        <v>7397148.3955966663</v>
      </c>
      <c r="AJ55" s="21">
        <f>SUM(AJ3:AJ53)</f>
        <v>88765780.747159988</v>
      </c>
      <c r="AK55" s="20"/>
      <c r="AL55" s="20"/>
      <c r="AM55" s="20"/>
      <c r="AN55" s="20"/>
      <c r="AO55" s="20"/>
      <c r="AP55" s="20"/>
      <c r="AQ55" s="20"/>
      <c r="AR55" s="20"/>
      <c r="AS55" s="20"/>
      <c r="AT55" s="21">
        <f>SUM(AT3:AT53)</f>
        <v>931672.7888888889</v>
      </c>
      <c r="AU55" s="21">
        <f>SUM(AU3:AU53)</f>
        <v>11180073.466666667</v>
      </c>
      <c r="AV55" s="20"/>
      <c r="AW55" s="20"/>
      <c r="AX55" s="20"/>
      <c r="AY55" s="20"/>
      <c r="AZ55" s="20"/>
      <c r="BA55" s="20"/>
      <c r="BB55" s="20"/>
      <c r="BC55" s="20"/>
      <c r="BD55" s="20"/>
      <c r="BE55" s="21">
        <f>SUM(BE3:BE53)</f>
        <v>1442353.2099507581</v>
      </c>
      <c r="BF55" s="21">
        <f>SUM(BF3:BF53)</f>
        <v>17308238.519409098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1">
        <f>SUM(BP3:BP53)</f>
        <v>16253754.000000002</v>
      </c>
      <c r="BQ55" s="21">
        <f>SUM(BQ3:BQ53)</f>
        <v>195045048.00000003</v>
      </c>
      <c r="BR55" s="20"/>
      <c r="BS55" s="20"/>
      <c r="BT55" s="20"/>
    </row>
    <row r="56" spans="1:87" ht="15" customHeight="1">
      <c r="T56" s="83"/>
      <c r="W56" s="83"/>
    </row>
    <row r="57" spans="1:87" ht="15" customHeight="1">
      <c r="L57" s="85"/>
    </row>
    <row r="58" spans="1:87" ht="15" customHeight="1">
      <c r="M58" s="85"/>
    </row>
    <row r="60" spans="1:87" ht="15" customHeight="1">
      <c r="M60" s="85"/>
    </row>
    <row r="61" spans="1:87" ht="15" customHeight="1">
      <c r="J61" s="1">
        <v>176734</v>
      </c>
      <c r="K61" s="19">
        <v>415</v>
      </c>
    </row>
    <row r="62" spans="1:87" ht="15" customHeight="1">
      <c r="J62" s="1">
        <v>100693</v>
      </c>
      <c r="K62" s="19">
        <v>521.61</v>
      </c>
    </row>
    <row r="63" spans="1:87" ht="15" customHeight="1">
      <c r="J63" s="1">
        <v>9639.9699999999993</v>
      </c>
      <c r="K63" s="19">
        <v>504.48</v>
      </c>
    </row>
    <row r="64" spans="1:87" ht="15" customHeight="1">
      <c r="J64" s="1">
        <v>129322</v>
      </c>
      <c r="K64" s="19">
        <v>541</v>
      </c>
    </row>
    <row r="65" spans="10:11" ht="15" customHeight="1">
      <c r="J65" s="1">
        <v>5649000</v>
      </c>
      <c r="K65" s="19">
        <v>487</v>
      </c>
    </row>
    <row r="66" spans="10:11" ht="15" customHeight="1">
      <c r="J66" s="1">
        <v>7287</v>
      </c>
      <c r="K66" s="19">
        <v>660.1</v>
      </c>
    </row>
    <row r="67" spans="10:11" ht="15" customHeight="1">
      <c r="J67" s="1">
        <v>1850000</v>
      </c>
      <c r="K67" s="19">
        <v>390</v>
      </c>
    </row>
    <row r="68" spans="10:11" ht="15" customHeight="1">
      <c r="J68" s="1">
        <v>127500</v>
      </c>
      <c r="K68" s="19">
        <v>440</v>
      </c>
    </row>
    <row r="69" spans="10:11" ht="15" customHeight="1">
      <c r="J69" s="1">
        <v>666879</v>
      </c>
      <c r="K69" s="48">
        <f>504-0.000000009*J69</f>
        <v>503.993998089</v>
      </c>
    </row>
    <row r="70" spans="10:11" ht="15" customHeight="1">
      <c r="J70" s="1">
        <v>45007</v>
      </c>
      <c r="K70" s="48">
        <f>504-0.000000009*J70</f>
        <v>503.99959493699998</v>
      </c>
    </row>
  </sheetData>
  <autoFilter ref="A1:BT55" xr:uid="{793E3077-E831-4B33-A930-2E9CC5E19717}"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</autoFilter>
  <sortState xmlns:xlrd2="http://schemas.microsoft.com/office/spreadsheetml/2017/richdata2" ref="A3:X53">
    <sortCondition descending="1" ref="A2"/>
  </sortState>
  <mergeCells count="19">
    <mergeCell ref="A55:D55"/>
    <mergeCell ref="BJ1:BT1"/>
    <mergeCell ref="C1:C2"/>
    <mergeCell ref="B1:B2"/>
    <mergeCell ref="A1:A2"/>
    <mergeCell ref="F1:F2"/>
    <mergeCell ref="J1:Q1"/>
    <mergeCell ref="R1:AB1"/>
    <mergeCell ref="AC1:AM1"/>
    <mergeCell ref="AN1:AX1"/>
    <mergeCell ref="AY1:BI1"/>
    <mergeCell ref="I1:I2"/>
    <mergeCell ref="H1:H2"/>
    <mergeCell ref="G1:G2"/>
    <mergeCell ref="CF1:CI1"/>
    <mergeCell ref="E1:E2"/>
    <mergeCell ref="BZ1:CE1"/>
    <mergeCell ref="D1:D2"/>
    <mergeCell ref="BU1:BY1"/>
  </mergeCells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5ef425c-d2e0-4fb8-9b15-7922701c95c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1182C885E5464099A484A522BD6DBF" ma:contentTypeVersion="19" ma:contentTypeDescription="Crear nuevo documento." ma:contentTypeScope="" ma:versionID="dcd687cc5f26b4a52b394fa287adaf41">
  <xsd:schema xmlns:xsd="http://www.w3.org/2001/XMLSchema" xmlns:xs="http://www.w3.org/2001/XMLSchema" xmlns:p="http://schemas.microsoft.com/office/2006/metadata/properties" xmlns:ns3="e9a2b2f9-2296-4dd6-9854-ba1fd505ed5a" xmlns:ns4="85ef425c-d2e0-4fb8-9b15-7922701c95c1" targetNamespace="http://schemas.microsoft.com/office/2006/metadata/properties" ma:root="true" ma:fieldsID="2ef96f0d78637c481001e9dbb5d7ff04" ns3:_="" ns4:_="">
    <xsd:import namespace="e9a2b2f9-2296-4dd6-9854-ba1fd505ed5a"/>
    <xsd:import namespace="85ef425c-d2e0-4fb8-9b15-7922701c95c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ServiceOCR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a2b2f9-2296-4dd6-9854-ba1fd505ed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f425c-d2e0-4fb8-9b15-7922701c95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5CD620-A230-4B76-A37F-ED28D4933CBC}"/>
</file>

<file path=customXml/itemProps2.xml><?xml version="1.0" encoding="utf-8"?>
<ds:datastoreItem xmlns:ds="http://schemas.openxmlformats.org/officeDocument/2006/customXml" ds:itemID="{330CC6B3-4C46-4123-933F-37201BB42455}"/>
</file>

<file path=customXml/itemProps3.xml><?xml version="1.0" encoding="utf-8"?>
<ds:datastoreItem xmlns:ds="http://schemas.openxmlformats.org/officeDocument/2006/customXml" ds:itemID="{C4862404-0D26-41B8-AE6B-3D39335AC0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UNAB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Mario Jonatan Acero Caballero</dc:creator>
  <cp:keywords/>
  <dc:description/>
  <cp:lastModifiedBy/>
  <cp:revision/>
  <dcterms:created xsi:type="dcterms:W3CDTF">2025-10-30T00:47:42Z</dcterms:created>
  <dcterms:modified xsi:type="dcterms:W3CDTF">2026-04-20T03:37:47Z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0x0101000F1182C885E5464099A484A522BD6DBF</vt:lpwstr>
  </property>
</Properties>
</file>